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amil\Downloads\"/>
    </mc:Choice>
  </mc:AlternateContent>
  <bookViews>
    <workbookView xWindow="-120" yWindow="-120" windowWidth="38640" windowHeight="15720"/>
  </bookViews>
  <sheets>
    <sheet name="Лист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96" i="1" l="1"/>
  <c r="AF295" i="1"/>
  <c r="AF294" i="1"/>
  <c r="AF293" i="1"/>
  <c r="AF292" i="1"/>
  <c r="AF291" i="1"/>
  <c r="AF290" i="1"/>
  <c r="AF289" i="1"/>
  <c r="AF288" i="1"/>
  <c r="AF287" i="1"/>
  <c r="AF286" i="1"/>
  <c r="AF285" i="1"/>
  <c r="AF284" i="1"/>
  <c r="AF283" i="1"/>
  <c r="AF282" i="1"/>
  <c r="AF281" i="1"/>
  <c r="AF280" i="1"/>
  <c r="AF279" i="1"/>
  <c r="AF278" i="1"/>
  <c r="AF277" i="1"/>
  <c r="AF276" i="1"/>
  <c r="AF275" i="1"/>
  <c r="AF274" i="1"/>
  <c r="AF273" i="1"/>
  <c r="AF272" i="1"/>
  <c r="AF271" i="1"/>
  <c r="AF270" i="1"/>
  <c r="AF269" i="1"/>
  <c r="AF268" i="1"/>
  <c r="AF267" i="1"/>
  <c r="AF266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130" i="1"/>
  <c r="N242" i="1" s="1"/>
  <c r="AF240" i="1"/>
  <c r="AF239" i="1"/>
  <c r="AF238" i="1"/>
  <c r="AF237" i="1"/>
  <c r="AF236" i="1"/>
  <c r="AF235" i="1"/>
  <c r="AF234" i="1"/>
  <c r="AF233" i="1"/>
  <c r="AF232" i="1"/>
  <c r="AF231" i="1"/>
  <c r="AF230" i="1"/>
  <c r="AF229" i="1"/>
  <c r="AF228" i="1"/>
  <c r="AF227" i="1"/>
  <c r="AF226" i="1"/>
  <c r="AF225" i="1"/>
  <c r="AF224" i="1"/>
  <c r="AF223" i="1"/>
  <c r="AF222" i="1"/>
  <c r="AF221" i="1"/>
  <c r="AF220" i="1"/>
  <c r="AF219" i="1"/>
  <c r="AF218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AF186" i="1"/>
  <c r="AF298" i="1" s="1"/>
  <c r="AF216" i="1"/>
  <c r="AF328" i="1" s="1"/>
  <c r="AF215" i="1"/>
  <c r="AF327" i="1" s="1"/>
  <c r="AF214" i="1"/>
  <c r="AF326" i="1" s="1"/>
  <c r="AF213" i="1"/>
  <c r="AF325" i="1" s="1"/>
  <c r="AF212" i="1"/>
  <c r="AF324" i="1" s="1"/>
  <c r="AF211" i="1"/>
  <c r="AF323" i="1" s="1"/>
  <c r="AF210" i="1"/>
  <c r="AF322" i="1" s="1"/>
  <c r="AF209" i="1"/>
  <c r="AF321" i="1" s="1"/>
  <c r="AF208" i="1"/>
  <c r="AF320" i="1" s="1"/>
  <c r="AF207" i="1"/>
  <c r="AF319" i="1" s="1"/>
  <c r="AF206" i="1"/>
  <c r="AF318" i="1" s="1"/>
  <c r="AF205" i="1"/>
  <c r="AF317" i="1" s="1"/>
  <c r="AF204" i="1"/>
  <c r="AF316" i="1" s="1"/>
  <c r="AF203" i="1"/>
  <c r="AF315" i="1" s="1"/>
  <c r="AF202" i="1"/>
  <c r="AF314" i="1" s="1"/>
  <c r="AF201" i="1"/>
  <c r="AF313" i="1" s="1"/>
  <c r="AF200" i="1"/>
  <c r="AF312" i="1" s="1"/>
  <c r="AF199" i="1"/>
  <c r="AF311" i="1" s="1"/>
  <c r="AF198" i="1"/>
  <c r="AF310" i="1" s="1"/>
  <c r="AF197" i="1"/>
  <c r="AF309" i="1" s="1"/>
  <c r="AF196" i="1"/>
  <c r="AF308" i="1" s="1"/>
  <c r="AF195" i="1"/>
  <c r="AF307" i="1" s="1"/>
  <c r="AF194" i="1"/>
  <c r="AF306" i="1" s="1"/>
  <c r="AF193" i="1"/>
  <c r="AF305" i="1" s="1"/>
  <c r="AF192" i="1"/>
  <c r="AF304" i="1" s="1"/>
  <c r="AF191" i="1"/>
  <c r="AF303" i="1" s="1"/>
  <c r="AF190" i="1"/>
  <c r="AF302" i="1" s="1"/>
  <c r="AF189" i="1"/>
  <c r="AF301" i="1" s="1"/>
  <c r="AF188" i="1"/>
  <c r="AF300" i="1" s="1"/>
  <c r="AF187" i="1"/>
  <c r="AF299" i="1" s="1"/>
  <c r="N212" i="1"/>
  <c r="N324" i="1" s="1"/>
  <c r="N213" i="1"/>
  <c r="N325" i="1" s="1"/>
  <c r="N214" i="1"/>
  <c r="N326" i="1" s="1"/>
  <c r="N215" i="1"/>
  <c r="N327" i="1" s="1"/>
  <c r="N216" i="1"/>
  <c r="N328" i="1" s="1"/>
  <c r="N211" i="1"/>
  <c r="N323" i="1" s="1"/>
  <c r="N210" i="1"/>
  <c r="N322" i="1" s="1"/>
  <c r="N209" i="1"/>
  <c r="N321" i="1" s="1"/>
  <c r="N208" i="1"/>
  <c r="N320" i="1" s="1"/>
  <c r="N207" i="1"/>
  <c r="N319" i="1" s="1"/>
  <c r="N206" i="1"/>
  <c r="N318" i="1" s="1"/>
  <c r="N205" i="1"/>
  <c r="N317" i="1" s="1"/>
  <c r="N204" i="1"/>
  <c r="N316" i="1" s="1"/>
  <c r="N203" i="1"/>
  <c r="N315" i="1" s="1"/>
  <c r="N202" i="1"/>
  <c r="N314" i="1" s="1"/>
  <c r="N201" i="1"/>
  <c r="N313" i="1" s="1"/>
  <c r="N200" i="1"/>
  <c r="N312" i="1" s="1"/>
  <c r="N199" i="1"/>
  <c r="N311" i="1" s="1"/>
  <c r="N198" i="1"/>
  <c r="N310" i="1" s="1"/>
  <c r="N197" i="1"/>
  <c r="N309" i="1" s="1"/>
  <c r="N196" i="1"/>
  <c r="N308" i="1" s="1"/>
  <c r="N195" i="1"/>
  <c r="N307" i="1" s="1"/>
  <c r="N194" i="1"/>
  <c r="N306" i="1" s="1"/>
  <c r="N193" i="1"/>
  <c r="N305" i="1" s="1"/>
  <c r="N192" i="1"/>
  <c r="N304" i="1" s="1"/>
  <c r="N191" i="1"/>
  <c r="N303" i="1" s="1"/>
  <c r="N190" i="1"/>
  <c r="N302" i="1" s="1"/>
  <c r="N189" i="1"/>
  <c r="N301" i="1" s="1"/>
  <c r="N188" i="1"/>
  <c r="N300" i="1" s="1"/>
  <c r="N187" i="1"/>
  <c r="N299" i="1" s="1"/>
  <c r="N186" i="1"/>
  <c r="N298" i="1" s="1"/>
  <c r="AF130" i="1"/>
  <c r="AF242" i="1" s="1"/>
  <c r="AF31" i="1"/>
  <c r="AF81" i="1"/>
  <c r="AF152" i="1"/>
  <c r="AF264" i="1" s="1"/>
  <c r="AF151" i="1"/>
  <c r="AF263" i="1" s="1"/>
  <c r="AF150" i="1"/>
  <c r="AF262" i="1" s="1"/>
  <c r="AF149" i="1"/>
  <c r="AF261" i="1" s="1"/>
  <c r="AF148" i="1"/>
  <c r="AF260" i="1" s="1"/>
  <c r="AF147" i="1"/>
  <c r="AF259" i="1" s="1"/>
  <c r="AF146" i="1"/>
  <c r="AF258" i="1" s="1"/>
  <c r="AF145" i="1"/>
  <c r="AF257" i="1" s="1"/>
  <c r="AF144" i="1"/>
  <c r="AF256" i="1" s="1"/>
  <c r="AF143" i="1"/>
  <c r="AF255" i="1" s="1"/>
  <c r="AF142" i="1"/>
  <c r="AF254" i="1" s="1"/>
  <c r="AF141" i="1"/>
  <c r="AF253" i="1" s="1"/>
  <c r="AF140" i="1"/>
  <c r="AF252" i="1" s="1"/>
  <c r="AF139" i="1"/>
  <c r="AF251" i="1" s="1"/>
  <c r="AF138" i="1"/>
  <c r="AF250" i="1" s="1"/>
  <c r="AF137" i="1"/>
  <c r="AF249" i="1" s="1"/>
  <c r="AF136" i="1"/>
  <c r="AF248" i="1" s="1"/>
  <c r="AF135" i="1"/>
  <c r="AF247" i="1" s="1"/>
  <c r="AF134" i="1"/>
  <c r="AF246" i="1" s="1"/>
  <c r="AF133" i="1"/>
  <c r="AF245" i="1" s="1"/>
  <c r="AF132" i="1"/>
  <c r="AF244" i="1" s="1"/>
  <c r="AF131" i="1"/>
  <c r="AF243" i="1" s="1"/>
  <c r="N152" i="1"/>
  <c r="N264" i="1" s="1"/>
  <c r="N151" i="1"/>
  <c r="N263" i="1" s="1"/>
  <c r="N150" i="1"/>
  <c r="N262" i="1" s="1"/>
  <c r="N149" i="1"/>
  <c r="N261" i="1" s="1"/>
  <c r="N148" i="1"/>
  <c r="N260" i="1" s="1"/>
  <c r="N147" i="1"/>
  <c r="N259" i="1" s="1"/>
  <c r="N146" i="1"/>
  <c r="N258" i="1" s="1"/>
  <c r="N145" i="1"/>
  <c r="N257" i="1" s="1"/>
  <c r="N144" i="1"/>
  <c r="N256" i="1" s="1"/>
  <c r="N143" i="1"/>
  <c r="N255" i="1" s="1"/>
  <c r="N142" i="1"/>
  <c r="N254" i="1" s="1"/>
  <c r="N141" i="1"/>
  <c r="N253" i="1" s="1"/>
  <c r="N140" i="1"/>
  <c r="N252" i="1" s="1"/>
  <c r="N139" i="1"/>
  <c r="N251" i="1" s="1"/>
  <c r="N138" i="1"/>
  <c r="N250" i="1" s="1"/>
  <c r="N137" i="1"/>
  <c r="N249" i="1" s="1"/>
  <c r="N136" i="1"/>
  <c r="N248" i="1" s="1"/>
  <c r="N135" i="1"/>
  <c r="N247" i="1" s="1"/>
  <c r="N134" i="1"/>
  <c r="N246" i="1" s="1"/>
  <c r="N133" i="1"/>
  <c r="N245" i="1" s="1"/>
  <c r="N132" i="1"/>
  <c r="N244" i="1" s="1"/>
  <c r="N131" i="1"/>
  <c r="N243" i="1" s="1"/>
  <c r="AF103" i="1"/>
  <c r="AF102" i="1"/>
  <c r="AF101" i="1"/>
  <c r="AF100" i="1"/>
  <c r="AF99" i="1"/>
  <c r="AF98" i="1"/>
  <c r="AF97" i="1"/>
  <c r="AF96" i="1"/>
  <c r="AF95" i="1"/>
  <c r="AF94" i="1"/>
  <c r="AF93" i="1"/>
  <c r="AF92" i="1"/>
  <c r="AF91" i="1"/>
  <c r="AF90" i="1"/>
  <c r="AF89" i="1"/>
  <c r="AF88" i="1"/>
  <c r="AF87" i="1"/>
  <c r="AF86" i="1"/>
  <c r="AF85" i="1"/>
  <c r="AF84" i="1"/>
  <c r="AF83" i="1"/>
  <c r="AF82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103" i="1"/>
  <c r="N86" i="1"/>
  <c r="N85" i="1"/>
  <c r="N84" i="1"/>
  <c r="N83" i="1"/>
  <c r="N82" i="1"/>
  <c r="N81" i="1"/>
  <c r="N31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</calcChain>
</file>

<file path=xl/comments1.xml><?xml version="1.0" encoding="utf-8"?>
<comments xmlns="http://schemas.openxmlformats.org/spreadsheetml/2006/main">
  <authors>
    <author>ru-user</author>
    <author>Kruglov</author>
  </authors>
  <commentList>
    <comment ref="AU5" authorId="0" shapeId="0">
      <text>
        <r>
          <rPr>
            <b/>
            <sz val="9"/>
            <color indexed="81"/>
            <rFont val="Tahoma"/>
            <family val="2"/>
            <charset val="204"/>
          </rPr>
          <t>ru-user:</t>
        </r>
        <r>
          <rPr>
            <sz val="9"/>
            <color indexed="81"/>
            <rFont val="Tahoma"/>
            <family val="2"/>
            <charset val="204"/>
          </rPr>
          <t xml:space="preserve">
Воздуховод своими силами. Стоимость?</t>
        </r>
      </text>
    </comment>
    <comment ref="AW5" authorId="0" shapeId="0">
      <text>
        <r>
          <rPr>
            <b/>
            <sz val="9"/>
            <color indexed="81"/>
            <rFont val="Tahoma"/>
            <family val="2"/>
            <charset val="204"/>
          </rPr>
          <t>ru-user:</t>
        </r>
        <r>
          <rPr>
            <sz val="9"/>
            <color indexed="81"/>
            <rFont val="Tahoma"/>
            <family val="2"/>
            <charset val="204"/>
          </rPr>
          <t xml:space="preserve">
Воздуховод своими силами. Стоимость?</t>
        </r>
      </text>
    </comment>
    <comment ref="AY5" authorId="0" shapeId="0">
      <text>
        <r>
          <rPr>
            <b/>
            <sz val="9"/>
            <color indexed="81"/>
            <rFont val="Tahoma"/>
            <family val="2"/>
            <charset val="204"/>
          </rPr>
          <t>ru-user:</t>
        </r>
        <r>
          <rPr>
            <sz val="9"/>
            <color indexed="81"/>
            <rFont val="Tahoma"/>
            <family val="2"/>
            <charset val="204"/>
          </rPr>
          <t xml:space="preserve">
Запросил полные габаритные чертежи на секции предзаряда силовых ячеек</t>
        </r>
      </text>
    </comment>
    <comment ref="BA5" authorId="1" shapeId="0">
      <text>
        <r>
          <rPr>
            <b/>
            <sz val="9"/>
            <color indexed="81"/>
            <rFont val="Tahoma"/>
            <family val="2"/>
          </rPr>
          <t>Kruglov:</t>
        </r>
        <r>
          <rPr>
            <sz val="9"/>
            <color indexed="81"/>
            <rFont val="Tahoma"/>
            <family val="2"/>
          </rPr>
          <t xml:space="preserve">
Всегда одностороннего обслуживания?</t>
        </r>
      </text>
    </comment>
    <comment ref="BV5" authorId="0" shapeId="0">
      <text>
        <r>
          <rPr>
            <b/>
            <sz val="9"/>
            <color indexed="81"/>
            <rFont val="Tahoma"/>
            <family val="2"/>
            <charset val="204"/>
          </rPr>
          <t>ru-user:</t>
        </r>
        <r>
          <rPr>
            <sz val="9"/>
            <color indexed="81"/>
            <rFont val="Tahoma"/>
            <family val="2"/>
            <charset val="204"/>
          </rPr>
          <t xml:space="preserve">
Запросил габаритные чертежи для шкафа ввода/вывода сверху
</t>
        </r>
      </text>
    </comment>
    <comment ref="BX5" authorId="1" shapeId="0">
      <text>
        <r>
          <rPr>
            <b/>
            <sz val="9"/>
            <color indexed="81"/>
            <rFont val="Tahoma"/>
            <family val="2"/>
          </rPr>
          <t>Kruglov:</t>
        </r>
        <r>
          <rPr>
            <sz val="9"/>
            <color indexed="81"/>
            <rFont val="Tahoma"/>
            <family val="2"/>
          </rPr>
          <t xml:space="preserve">
Всегда одностороннего обслуживания?</t>
        </r>
      </text>
    </comment>
    <comment ref="BK15" authorId="0" shapeId="0">
      <text>
        <r>
          <rPr>
            <b/>
            <sz val="9"/>
            <color indexed="81"/>
            <rFont val="Tahoma"/>
            <family val="2"/>
            <charset val="204"/>
          </rPr>
          <t>ru-user:</t>
        </r>
        <r>
          <rPr>
            <sz val="9"/>
            <color indexed="81"/>
            <rFont val="Tahoma"/>
            <family val="2"/>
            <charset val="204"/>
          </rPr>
          <t xml:space="preserve">
Изменится ли габарит на мощности выше? Запросил габаритные чертежи</t>
        </r>
      </text>
    </comment>
    <comment ref="BA31" authorId="1" shapeId="0">
      <text>
        <r>
          <rPr>
            <b/>
            <sz val="9"/>
            <color indexed="81"/>
            <rFont val="Tahoma"/>
            <family val="2"/>
          </rPr>
          <t>Kruglov:</t>
        </r>
        <r>
          <rPr>
            <sz val="9"/>
            <color indexed="81"/>
            <rFont val="Tahoma"/>
            <family val="2"/>
          </rPr>
          <t xml:space="preserve">
Всегда одностороннего обслуживания?</t>
        </r>
      </text>
    </comment>
    <comment ref="BA57" authorId="1" shapeId="0">
      <text>
        <r>
          <rPr>
            <b/>
            <sz val="9"/>
            <color indexed="81"/>
            <rFont val="Tahoma"/>
            <family val="2"/>
          </rPr>
          <t>Kruglov:</t>
        </r>
        <r>
          <rPr>
            <sz val="9"/>
            <color indexed="81"/>
            <rFont val="Tahoma"/>
            <family val="2"/>
          </rPr>
          <t xml:space="preserve">
Всегда одностороннего обслуживания?</t>
        </r>
      </text>
    </comment>
    <comment ref="BA81" authorId="1" shapeId="0">
      <text>
        <r>
          <rPr>
            <b/>
            <sz val="9"/>
            <color indexed="81"/>
            <rFont val="Tahoma"/>
            <family val="2"/>
          </rPr>
          <t>Kruglov:</t>
        </r>
        <r>
          <rPr>
            <sz val="9"/>
            <color indexed="81"/>
            <rFont val="Tahoma"/>
            <family val="2"/>
          </rPr>
          <t xml:space="preserve">
Всегда одностороннего обслуживания?</t>
        </r>
      </text>
    </comment>
    <comment ref="AM106" authorId="0" shapeId="0">
      <text>
        <r>
          <rPr>
            <b/>
            <sz val="9"/>
            <color indexed="81"/>
            <rFont val="Tahoma"/>
            <family val="2"/>
            <charset val="204"/>
          </rPr>
          <t>ru-user:</t>
        </r>
        <r>
          <rPr>
            <sz val="9"/>
            <color indexed="81"/>
            <rFont val="Tahoma"/>
            <family val="2"/>
            <charset val="204"/>
          </rPr>
          <t xml:space="preserve">
Точно ли БСЯ для серии Компакт одностороннего обслуживания?
</t>
        </r>
      </text>
    </comment>
    <comment ref="AM130" authorId="0" shapeId="0">
      <text>
        <r>
          <rPr>
            <b/>
            <sz val="9"/>
            <color indexed="81"/>
            <rFont val="Tahoma"/>
            <family val="2"/>
            <charset val="204"/>
          </rPr>
          <t>ru-user:</t>
        </r>
        <r>
          <rPr>
            <sz val="9"/>
            <color indexed="81"/>
            <rFont val="Tahoma"/>
            <family val="2"/>
            <charset val="204"/>
          </rPr>
          <t xml:space="preserve">
Точно ли БСЯ для серии Компакт одностороннего обслуживания?
</t>
        </r>
      </text>
    </comment>
    <comment ref="AM154" authorId="0" shapeId="0">
      <text>
        <r>
          <rPr>
            <b/>
            <sz val="9"/>
            <color indexed="81"/>
            <rFont val="Tahoma"/>
            <family val="2"/>
            <charset val="204"/>
          </rPr>
          <t>ru-user:</t>
        </r>
        <r>
          <rPr>
            <sz val="9"/>
            <color indexed="81"/>
            <rFont val="Tahoma"/>
            <family val="2"/>
            <charset val="204"/>
          </rPr>
          <t xml:space="preserve">
Точно ли БСЯ для серии Компакт одностороннего обслуживания?
</t>
        </r>
      </text>
    </comment>
    <comment ref="AM186" authorId="0" shapeId="0">
      <text>
        <r>
          <rPr>
            <b/>
            <sz val="9"/>
            <color indexed="81"/>
            <rFont val="Tahoma"/>
            <family val="2"/>
            <charset val="204"/>
          </rPr>
          <t>ru-user:</t>
        </r>
        <r>
          <rPr>
            <sz val="9"/>
            <color indexed="81"/>
            <rFont val="Tahoma"/>
            <family val="2"/>
            <charset val="204"/>
          </rPr>
          <t xml:space="preserve">
Точно ли БСЯ для серии Компакт одностороннего обслуживания?
</t>
        </r>
      </text>
    </comment>
    <comment ref="AM242" authorId="0" shapeId="0">
      <text>
        <r>
          <rPr>
            <b/>
            <sz val="9"/>
            <color indexed="81"/>
            <rFont val="Tahoma"/>
            <family val="2"/>
            <charset val="204"/>
          </rPr>
          <t>ru-user:</t>
        </r>
        <r>
          <rPr>
            <sz val="9"/>
            <color indexed="81"/>
            <rFont val="Tahoma"/>
            <family val="2"/>
            <charset val="204"/>
          </rPr>
          <t xml:space="preserve">
Точно ли БСЯ для серии Компакт одностороннего обслуживания?
</t>
        </r>
      </text>
    </comment>
    <comment ref="AM266" authorId="0" shapeId="0">
      <text>
        <r>
          <rPr>
            <b/>
            <sz val="9"/>
            <color indexed="81"/>
            <rFont val="Tahoma"/>
            <family val="2"/>
            <charset val="204"/>
          </rPr>
          <t>ru-user:</t>
        </r>
        <r>
          <rPr>
            <sz val="9"/>
            <color indexed="81"/>
            <rFont val="Tahoma"/>
            <family val="2"/>
            <charset val="204"/>
          </rPr>
          <t xml:space="preserve">
Точно ли БСЯ для серии Компакт одностороннего обслуживания?
</t>
        </r>
      </text>
    </comment>
    <comment ref="AM298" authorId="0" shapeId="0">
      <text>
        <r>
          <rPr>
            <b/>
            <sz val="9"/>
            <color indexed="81"/>
            <rFont val="Tahoma"/>
            <family val="2"/>
            <charset val="204"/>
          </rPr>
          <t>ru-user:</t>
        </r>
        <r>
          <rPr>
            <sz val="9"/>
            <color indexed="81"/>
            <rFont val="Tahoma"/>
            <family val="2"/>
            <charset val="204"/>
          </rPr>
          <t xml:space="preserve">
Точно ли БСЯ для серии Компакт одностороннего обслуживания?
</t>
        </r>
      </text>
    </comment>
  </commentList>
</comments>
</file>

<file path=xl/sharedStrings.xml><?xml version="1.0" encoding="utf-8"?>
<sst xmlns="http://schemas.openxmlformats.org/spreadsheetml/2006/main" count="12456" uniqueCount="348">
  <si>
    <t>Ниспадающее меню:
Медь (по умолчанию) / Алюминий</t>
  </si>
  <si>
    <t>Активируется галочкой</t>
  </si>
  <si>
    <t>Одно ниспадающее меню: 
IP31 (по умолчанию) / Опция 4.1 / Опция 4.2</t>
  </si>
  <si>
    <r>
      <rPr>
        <i/>
        <sz val="10"/>
        <color theme="1"/>
        <rFont val="Arial"/>
        <family val="2"/>
        <charset val="204"/>
      </rPr>
      <t xml:space="preserve">Активируется галочкой
(Активна только для тех ВПЧ у которых </t>
    </r>
    <r>
      <rPr>
        <i/>
        <sz val="10"/>
        <color rgb="FF0000FF"/>
        <rFont val="Arial"/>
        <family val="2"/>
        <charset val="204"/>
      </rPr>
      <t>[PrechargeFunction]</t>
    </r>
    <r>
      <rPr>
        <i/>
        <sz val="10"/>
        <color theme="1"/>
        <rFont val="Arial"/>
        <family val="2"/>
        <charset val="204"/>
      </rPr>
      <t xml:space="preserve"> = Нет)</t>
    </r>
  </si>
  <si>
    <t>Одно ниспадающее меню: 
Асинхронный (по умолчанию) / Опция 7</t>
  </si>
  <si>
    <r>
      <rPr>
        <i/>
        <sz val="10"/>
        <color theme="1"/>
        <rFont val="Arial"/>
        <family val="2"/>
        <charset val="204"/>
      </rPr>
      <t xml:space="preserve">Активируется галочкой
(Активна, если </t>
    </r>
    <r>
      <rPr>
        <i/>
        <sz val="10"/>
        <color rgb="FF0000FF"/>
        <rFont val="Arial"/>
        <family val="2"/>
        <charset val="204"/>
      </rPr>
      <t>[Motor_type]</t>
    </r>
    <r>
      <rPr>
        <i/>
        <sz val="10"/>
        <color theme="1"/>
        <rFont val="Arial"/>
        <family val="2"/>
        <charset val="204"/>
      </rPr>
      <t xml:space="preserve"> = S)</t>
    </r>
  </si>
  <si>
    <t>Наименование</t>
  </si>
  <si>
    <t>Описание</t>
  </si>
  <si>
    <t>Номинальная полная мощность ТН, кВА</t>
  </si>
  <si>
    <t>Мощность подключаемого электродвигателя, кВт</t>
  </si>
  <si>
    <t>Входное напряжение, В</t>
  </si>
  <si>
    <t>Выходное напряжение, В</t>
  </si>
  <si>
    <t>Выходная частота, Гц</t>
  </si>
  <si>
    <t>Выходной ток, А</t>
  </si>
  <si>
    <t>Стандартный 
чертеж
ЧРП</t>
  </si>
  <si>
    <t>Базовая цена  
ВПЧ</t>
  </si>
  <si>
    <t>Материал
обмоток ТН 
ВПЧ</t>
  </si>
  <si>
    <t>Кол-во
силовых
ячеек ВПЧ</t>
  </si>
  <si>
    <t>Тип ЭД</t>
  </si>
  <si>
    <t>Способ обслуживания</t>
  </si>
  <si>
    <t>IP</t>
  </si>
  <si>
    <t>Интерфейс</t>
  </si>
  <si>
    <t>Масса, кг</t>
  </si>
  <si>
    <t>Наличие функции
предзаряда по умолчанию
Варианты: Да / Нет</t>
  </si>
  <si>
    <t>Исполнение функции предзаряда. 
Варианты: Нет / Встроенная в  корпус ВПЧ / Секция предзаряда</t>
  </si>
  <si>
    <t xml:space="preserve">Опция 1: Материал обмоток ТН ВПЧ - Алюминий
</t>
  </si>
  <si>
    <t xml:space="preserve">Опция 2.1: Байпас неисправной силовой ячейки (Механический)
</t>
  </si>
  <si>
    <t>Опция 3: Синхронизация на Сеть
Варианты: Да / Нет</t>
  </si>
  <si>
    <t>Опция 4.1: IP41</t>
  </si>
  <si>
    <t>Опция 4.2: IP42</t>
  </si>
  <si>
    <t>Опция 5: Предзаряд силовых ячеек
Варианты: Да / Нет</t>
  </si>
  <si>
    <t>Опция 6: Серия
ВПЧ - Минпромторг</t>
  </si>
  <si>
    <t>Опция 7: Тип ЭД - синхронный 
Варианты: Да / Нет</t>
  </si>
  <si>
    <t>Опция 8: Байпас ВПЧ (автоматический)</t>
  </si>
  <si>
    <t>Наименование формируется исходя из выбранного ВПЧ</t>
  </si>
  <si>
    <t>Описание формируется исходя из выбранного ВПЧ</t>
  </si>
  <si>
    <t>[S_trans]</t>
  </si>
  <si>
    <t>[P_Output]</t>
  </si>
  <si>
    <t>[V_input]</t>
  </si>
  <si>
    <t>[V_output]</t>
  </si>
  <si>
    <t>[Freq_output]</t>
  </si>
  <si>
    <t>[I_output]</t>
  </si>
  <si>
    <t>[Drawing]</t>
  </si>
  <si>
    <t>[Price_VFD]</t>
  </si>
  <si>
    <t>[Material_trans]</t>
  </si>
  <si>
    <t>[Count_power_cell]</t>
  </si>
  <si>
    <t>[VFD_Series]</t>
  </si>
  <si>
    <t>[VFD_Series_Start]</t>
  </si>
  <si>
    <t>[VFD_Series_End]</t>
  </si>
  <si>
    <t>[Motor_type]</t>
  </si>
  <si>
    <t>[Motor_type_full]</t>
  </si>
  <si>
    <t>[Service_VFD]</t>
  </si>
  <si>
    <t>[IP]</t>
  </si>
  <si>
    <t>[Interface_S]</t>
  </si>
  <si>
    <t>[Interface]</t>
  </si>
  <si>
    <t>[Airflow_rate]</t>
  </si>
  <si>
    <t>[Dimension_VFD_standart]</t>
  </si>
  <si>
    <t>[VFD_Weight]</t>
  </si>
  <si>
    <t>[PrechargeFunction]</t>
  </si>
  <si>
    <t>[PrechargeFunctionExec]</t>
  </si>
  <si>
    <t>[Price_VFD_AlumTrans]</t>
  </si>
  <si>
    <t>[Material_trans_AlumTrans]</t>
  </si>
  <si>
    <t>[Price_SynchrOption]</t>
  </si>
  <si>
    <t>[Dimension_Reactor]</t>
  </si>
  <si>
    <t>[Airflow_rate_Reactor]</t>
  </si>
  <si>
    <t>[Service_Reactor]</t>
  </si>
  <si>
    <t>[Weight_reactor]</t>
  </si>
  <si>
    <t>[IP41]</t>
  </si>
  <si>
    <t>[Price_IP41]</t>
  </si>
  <si>
    <t>[IP42]</t>
  </si>
  <si>
    <t>[Price_IP42]</t>
  </si>
  <si>
    <t>[Price_PreCharge]</t>
  </si>
  <si>
    <t>[Dimension_PreCharge]</t>
  </si>
  <si>
    <t>[Service_PreCharge]</t>
  </si>
  <si>
    <t>[Weight_PreCharge]</t>
  </si>
  <si>
    <t>[VFD_Series (Minprom)]</t>
  </si>
  <si>
    <t xml:space="preserve">[VFD_Series_Start (Minprom)] </t>
  </si>
  <si>
    <t>[Motor_type_Syn]</t>
  </si>
  <si>
    <t>[Motor_type_full_Syn]</t>
  </si>
  <si>
    <t>[Price_PLC_Syn]</t>
  </si>
  <si>
    <t>[Profibus_S]</t>
  </si>
  <si>
    <t>[Profibus]</t>
  </si>
  <si>
    <t>[Price_Profibus]</t>
  </si>
  <si>
    <t>[ModbusTCP_S]</t>
  </si>
  <si>
    <t>[ModbusTCP]</t>
  </si>
  <si>
    <t>[Price_ModbusTCP]</t>
  </si>
  <si>
    <t>[Profinet_S]</t>
  </si>
  <si>
    <t>[Profinet]</t>
  </si>
  <si>
    <t>[Price_Profinet]</t>
  </si>
  <si>
    <t>Медь</t>
  </si>
  <si>
    <t>Стандарт</t>
  </si>
  <si>
    <t>Empty</t>
  </si>
  <si>
    <t>A</t>
  </si>
  <si>
    <t>Асинхронный</t>
  </si>
  <si>
    <t>Одностороннее</t>
  </si>
  <si>
    <t>М</t>
  </si>
  <si>
    <t>RS-485, Modbus RTU</t>
  </si>
  <si>
    <t>Нет</t>
  </si>
  <si>
    <t>Алюминий</t>
  </si>
  <si>
    <t>Двухстороннее</t>
  </si>
  <si>
    <t>???</t>
  </si>
  <si>
    <t>??? х ??? х ???</t>
  </si>
  <si>
    <t>Стандарт 
(Минпромторг)</t>
  </si>
  <si>
    <t>-M</t>
  </si>
  <si>
    <t>S</t>
  </si>
  <si>
    <t>Синхронный</t>
  </si>
  <si>
    <t>P</t>
  </si>
  <si>
    <t>RS-485, Profibus</t>
  </si>
  <si>
    <t>M</t>
  </si>
  <si>
    <t>Ethernet, Modbus TCP</t>
  </si>
  <si>
    <t>Ethernet, Profinet</t>
  </si>
  <si>
    <t>ИСХОДНОЕ:</t>
  </si>
  <si>
    <t>Опция 1</t>
  </si>
  <si>
    <t>Опция 2.1</t>
  </si>
  <si>
    <t>Опция 3</t>
  </si>
  <si>
    <t>Опция 4.1</t>
  </si>
  <si>
    <t>Опция 4.2</t>
  </si>
  <si>
    <t>Опция 5</t>
  </si>
  <si>
    <t xml:space="preserve">Опция 6 </t>
  </si>
  <si>
    <t xml:space="preserve">Опция 7 </t>
  </si>
  <si>
    <t>Опция 7.1</t>
  </si>
  <si>
    <t>*Цены по умолчанию в таблице в CNY</t>
  </si>
  <si>
    <t>Серия
ВПЧ
Стандарт / Стандарт (Минпромторг) / Компакт / Компакт (Минпромторг) / Базовая / Базовая (компакт)</t>
  </si>
  <si>
    <t>[Price_VFD_mechBypass]</t>
  </si>
  <si>
    <t>[Dimension_VFD_mechBypass]</t>
  </si>
  <si>
    <t>[Service_VFD_mechBypass]</t>
  </si>
  <si>
    <t>[Price_bypassVFD]</t>
  </si>
  <si>
    <t>[Dimension_bypassVFD]</t>
  </si>
  <si>
    <t>[Weight_bypassVFD]</t>
  </si>
  <si>
    <t>3052х1400х2695</t>
  </si>
  <si>
    <t>[Drawing_VFD_mechBypass]</t>
  </si>
  <si>
    <t>[Drawing_Reactor]</t>
  </si>
  <si>
    <t>[Drawing_PreCharge]</t>
  </si>
  <si>
    <t xml:space="preserve">Одно ниспадающее меню: 
RS-485, Modbus RTU (по умолчанию) / Опция 10.1 / Опция 10.2 / Опция 10.3 </t>
  </si>
  <si>
    <t>Опция 10.1</t>
  </si>
  <si>
    <t>Опция 10.2</t>
  </si>
  <si>
    <t>Опция 10.3</t>
  </si>
  <si>
    <t>Опция 8</t>
  </si>
  <si>
    <t>[Drawing_bypassVFD]</t>
  </si>
  <si>
    <t>Одно ниспадающее меню: 
Пусто / Опция 2.1 / Опция 2.2</t>
  </si>
  <si>
    <t>[VFD_mechBypass_Weight]</t>
  </si>
  <si>
    <t>3352х1400х2686</t>
  </si>
  <si>
    <t>3352х1400х2724</t>
  </si>
  <si>
    <t>3952х1500х2686</t>
  </si>
  <si>
    <t>3952х1500х2724</t>
  </si>
  <si>
    <t>Да</t>
  </si>
  <si>
    <t>Встроенная в  корпус ВПЧ</t>
  </si>
  <si>
    <t>6056х1700х2722</t>
  </si>
  <si>
    <t>6356х1700х3056</t>
  </si>
  <si>
    <t>8087х1700х3056</t>
  </si>
  <si>
    <t>По запросу</t>
  </si>
  <si>
    <t>Секция предзаряда</t>
  </si>
  <si>
    <t>6кВ, 5 ячеек, серия стандарт и серия стандарт (Минпром)</t>
  </si>
  <si>
    <t>6кВ, 6 ячеек, серия стандарт и серия стандарт (Минпром)</t>
  </si>
  <si>
    <t>10кВ, 8 ячеек, серия стандарт и серия стандарт (Минпром)</t>
  </si>
  <si>
    <t>10кВ, 9 ячеек, серия стандарт и серия стандарт (Минпром)</t>
  </si>
  <si>
    <t>6кВ, 5 ячеек, серия базовая</t>
  </si>
  <si>
    <t>6кВ, 6 ячеек,  серия базовая</t>
  </si>
  <si>
    <t>10кВ, 8 ячеек,  серия базовая</t>
  </si>
  <si>
    <t>6кВ, 6 ячеек, серия базовая (компакт)</t>
  </si>
  <si>
    <t>10кВ, 8 ячеек, серия базовая (компакт)</t>
  </si>
  <si>
    <r>
      <rPr>
        <sz val="10"/>
        <color rgb="FFCC00FF"/>
        <rFont val="Arial"/>
        <family val="2"/>
        <charset val="204"/>
        <scheme val="minor"/>
      </rPr>
      <t>If</t>
    </r>
    <r>
      <rPr>
        <sz val="10"/>
        <color theme="1"/>
        <rFont val="Arial"/>
        <family val="2"/>
        <charset val="204"/>
        <scheme val="minor"/>
      </rPr>
      <t xml:space="preserve"> </t>
    </r>
    <r>
      <rPr>
        <sz val="10"/>
        <color rgb="FF0000CC"/>
        <rFont val="Arial"/>
        <family val="2"/>
        <charset val="204"/>
        <scheme val="minor"/>
      </rPr>
      <t>[V_input]</t>
    </r>
    <r>
      <rPr>
        <sz val="10"/>
        <color theme="1"/>
        <rFont val="Arial"/>
        <family val="2"/>
        <charset val="204"/>
        <scheme val="minor"/>
      </rPr>
      <t xml:space="preserve"> = 6000 </t>
    </r>
    <r>
      <rPr>
        <sz val="10"/>
        <color rgb="FFCC00FF"/>
        <rFont val="Arial"/>
        <family val="2"/>
        <charset val="204"/>
        <scheme val="minor"/>
      </rPr>
      <t>then</t>
    </r>
    <r>
      <rPr>
        <sz val="10"/>
        <color theme="1"/>
        <rFont val="Arial"/>
        <family val="2"/>
        <charset val="204"/>
        <scheme val="minor"/>
      </rPr>
      <t xml:space="preserve"> </t>
    </r>
    <r>
      <rPr>
        <sz val="10"/>
        <color rgb="FF0000CC"/>
        <rFont val="Arial"/>
        <family val="2"/>
        <charset val="204"/>
        <scheme val="minor"/>
      </rPr>
      <t>[V_input_name]</t>
    </r>
    <r>
      <rPr>
        <sz val="10"/>
        <color theme="1"/>
        <rFont val="Arial"/>
        <family val="2"/>
        <charset val="204"/>
        <scheme val="minor"/>
      </rPr>
      <t xml:space="preserve"> = 60 </t>
    </r>
  </si>
  <si>
    <r>
      <rPr>
        <sz val="10"/>
        <color rgb="FFCC00FF"/>
        <rFont val="Arial"/>
        <family val="2"/>
        <charset val="204"/>
        <scheme val="minor"/>
      </rPr>
      <t>If</t>
    </r>
    <r>
      <rPr>
        <sz val="10"/>
        <color theme="1"/>
        <rFont val="Arial"/>
        <family val="2"/>
        <charset val="204"/>
        <scheme val="minor"/>
      </rPr>
      <t xml:space="preserve"> </t>
    </r>
    <r>
      <rPr>
        <sz val="10"/>
        <color rgb="FF0000CC"/>
        <rFont val="Arial"/>
        <family val="2"/>
        <charset val="204"/>
        <scheme val="minor"/>
      </rPr>
      <t>[V_input]</t>
    </r>
    <r>
      <rPr>
        <sz val="10"/>
        <color theme="1"/>
        <rFont val="Arial"/>
        <family val="2"/>
        <charset val="204"/>
        <scheme val="minor"/>
      </rPr>
      <t xml:space="preserve"> = 10000 </t>
    </r>
    <r>
      <rPr>
        <sz val="10"/>
        <color rgb="FFCC00FF"/>
        <rFont val="Arial"/>
        <family val="2"/>
        <charset val="204"/>
        <scheme val="minor"/>
      </rPr>
      <t>then</t>
    </r>
    <r>
      <rPr>
        <sz val="10"/>
        <color theme="1"/>
        <rFont val="Arial"/>
        <family val="2"/>
        <charset val="204"/>
        <scheme val="minor"/>
      </rPr>
      <t xml:space="preserve"> </t>
    </r>
    <r>
      <rPr>
        <sz val="10"/>
        <color rgb="FF0000CC"/>
        <rFont val="Arial"/>
        <family val="2"/>
        <charset val="204"/>
        <scheme val="minor"/>
      </rPr>
      <t>[V_input_name]</t>
    </r>
    <r>
      <rPr>
        <sz val="10"/>
        <color theme="1"/>
        <rFont val="Arial"/>
        <family val="2"/>
        <charset val="204"/>
        <scheme val="minor"/>
      </rPr>
      <t xml:space="preserve"> = 10 </t>
    </r>
  </si>
  <si>
    <r>
      <rPr>
        <sz val="10"/>
        <color rgb="FFCC00FF"/>
        <rFont val="Arial"/>
        <family val="2"/>
        <charset val="204"/>
        <scheme val="minor"/>
      </rPr>
      <t>If</t>
    </r>
    <r>
      <rPr>
        <sz val="10"/>
        <color theme="1"/>
        <rFont val="Arial"/>
        <family val="2"/>
        <charset val="204"/>
        <scheme val="minor"/>
      </rPr>
      <t xml:space="preserve"> </t>
    </r>
    <r>
      <rPr>
        <sz val="10"/>
        <color rgb="FF0000CC"/>
        <rFont val="Arial"/>
        <family val="2"/>
        <charset val="204"/>
        <scheme val="minor"/>
      </rPr>
      <t>[V_output]</t>
    </r>
    <r>
      <rPr>
        <sz val="10"/>
        <color theme="1"/>
        <rFont val="Arial"/>
        <family val="2"/>
        <charset val="204"/>
        <scheme val="minor"/>
      </rPr>
      <t xml:space="preserve"> = 6000 </t>
    </r>
    <r>
      <rPr>
        <sz val="10"/>
        <color rgb="FFCC00FF"/>
        <rFont val="Arial"/>
        <family val="2"/>
        <charset val="204"/>
        <scheme val="minor"/>
      </rPr>
      <t>then</t>
    </r>
    <r>
      <rPr>
        <sz val="10"/>
        <color theme="1"/>
        <rFont val="Arial"/>
        <family val="2"/>
        <charset val="204"/>
        <scheme val="minor"/>
      </rPr>
      <t xml:space="preserve"> </t>
    </r>
    <r>
      <rPr>
        <sz val="10"/>
        <color rgb="FF0000CC"/>
        <rFont val="Arial"/>
        <family val="2"/>
        <charset val="204"/>
        <scheme val="minor"/>
      </rPr>
      <t>[V_output_name]</t>
    </r>
    <r>
      <rPr>
        <sz val="10"/>
        <color theme="1"/>
        <rFont val="Arial"/>
        <family val="2"/>
        <charset val="204"/>
        <scheme val="minor"/>
      </rPr>
      <t xml:space="preserve"> = 60 </t>
    </r>
  </si>
  <si>
    <r>
      <rPr>
        <sz val="10"/>
        <color rgb="FFCC00FF"/>
        <rFont val="Arial"/>
        <family val="2"/>
        <charset val="204"/>
        <scheme val="minor"/>
      </rPr>
      <t>If</t>
    </r>
    <r>
      <rPr>
        <sz val="10"/>
        <color theme="1"/>
        <rFont val="Arial"/>
        <family val="2"/>
        <charset val="204"/>
        <scheme val="minor"/>
      </rPr>
      <t xml:space="preserve"> </t>
    </r>
    <r>
      <rPr>
        <sz val="10"/>
        <color rgb="FF0000CC"/>
        <rFont val="Arial"/>
        <family val="2"/>
        <charset val="204"/>
        <scheme val="minor"/>
      </rPr>
      <t>[V_output]</t>
    </r>
    <r>
      <rPr>
        <sz val="10"/>
        <color theme="1"/>
        <rFont val="Arial"/>
        <family val="2"/>
        <charset val="204"/>
        <scheme val="minor"/>
      </rPr>
      <t xml:space="preserve"> = 10000 </t>
    </r>
    <r>
      <rPr>
        <sz val="10"/>
        <color rgb="FFCC00FF"/>
        <rFont val="Arial"/>
        <family val="2"/>
        <charset val="204"/>
        <scheme val="minor"/>
      </rPr>
      <t>then</t>
    </r>
    <r>
      <rPr>
        <sz val="10"/>
        <color theme="1"/>
        <rFont val="Arial"/>
        <family val="2"/>
        <charset val="204"/>
        <scheme val="minor"/>
      </rPr>
      <t xml:space="preserve"> </t>
    </r>
    <r>
      <rPr>
        <sz val="10"/>
        <color rgb="FF0000CC"/>
        <rFont val="Arial"/>
        <family val="2"/>
        <charset val="204"/>
        <scheme val="minor"/>
      </rPr>
      <t>[V_output_name]</t>
    </r>
    <r>
      <rPr>
        <sz val="10"/>
        <color theme="1"/>
        <rFont val="Arial"/>
        <family val="2"/>
        <charset val="204"/>
        <scheme val="minor"/>
      </rPr>
      <t xml:space="preserve"> = 10 </t>
    </r>
  </si>
  <si>
    <r>
      <rPr>
        <sz val="10"/>
        <color rgb="FF0000CC"/>
        <rFont val="Arial"/>
        <family val="2"/>
        <charset val="204"/>
        <scheme val="minor"/>
      </rPr>
      <t>[PWM_level]</t>
    </r>
    <r>
      <rPr>
        <sz val="10"/>
        <color theme="1"/>
        <rFont val="Arial"/>
        <family val="2"/>
        <charset val="204"/>
        <scheme val="minor"/>
      </rPr>
      <t xml:space="preserve"> = 2 * </t>
    </r>
    <r>
      <rPr>
        <sz val="10"/>
        <color rgb="FF0000CC"/>
        <rFont val="Arial"/>
        <family val="2"/>
        <charset val="204"/>
        <scheme val="minor"/>
      </rPr>
      <t xml:space="preserve">[Count_power_cell] </t>
    </r>
    <r>
      <rPr>
        <sz val="10"/>
        <color theme="1"/>
        <rFont val="Arial"/>
        <family val="2"/>
        <charset val="204"/>
        <scheme val="minor"/>
      </rPr>
      <t>+ 1</t>
    </r>
  </si>
  <si>
    <t>ОПЦИИ:</t>
  </si>
  <si>
    <r>
      <rPr>
        <sz val="10"/>
        <color rgb="FFCC00FF"/>
        <rFont val="Arial"/>
        <family val="2"/>
        <charset val="204"/>
        <scheme val="minor"/>
      </rPr>
      <t>If</t>
    </r>
    <r>
      <rPr>
        <sz val="10"/>
        <color theme="1"/>
        <rFont val="Arial"/>
        <family val="2"/>
        <charset val="204"/>
        <scheme val="minor"/>
      </rPr>
      <t xml:space="preserve">  </t>
    </r>
    <r>
      <rPr>
        <b/>
        <sz val="10"/>
        <color theme="1"/>
        <rFont val="Arial"/>
        <family val="2"/>
        <charset val="204"/>
        <scheme val="minor"/>
      </rPr>
      <t>"Синхронизация на Сеть" = Да,</t>
    </r>
    <r>
      <rPr>
        <sz val="10"/>
        <color theme="1"/>
        <rFont val="Arial"/>
        <family val="2"/>
        <charset val="204"/>
        <scheme val="minor"/>
      </rPr>
      <t xml:space="preserve"> </t>
    </r>
    <r>
      <rPr>
        <sz val="10"/>
        <color rgb="FFCC00FF"/>
        <rFont val="Arial"/>
        <family val="2"/>
        <charset val="204"/>
        <scheme val="minor"/>
      </rPr>
      <t>Then</t>
    </r>
    <r>
      <rPr>
        <sz val="10"/>
        <color theme="1"/>
        <rFont val="Arial"/>
        <family val="2"/>
        <charset val="204"/>
        <scheme val="minor"/>
      </rPr>
      <t xml:space="preserve"> </t>
    </r>
    <r>
      <rPr>
        <sz val="10"/>
        <color rgb="FF0000CC"/>
        <rFont val="Arial"/>
        <family val="2"/>
        <charset val="204"/>
        <scheme val="minor"/>
      </rPr>
      <t xml:space="preserve">[Price_VFD] </t>
    </r>
    <r>
      <rPr>
        <sz val="10"/>
        <color theme="1"/>
        <rFont val="Arial"/>
        <family val="2"/>
        <charset val="204"/>
        <scheme val="minor"/>
      </rPr>
      <t xml:space="preserve">= </t>
    </r>
    <r>
      <rPr>
        <sz val="10"/>
        <color rgb="FF0000CC"/>
        <rFont val="Arial"/>
        <family val="2"/>
        <charset val="204"/>
        <scheme val="minor"/>
      </rPr>
      <t xml:space="preserve">[Price_VFD] </t>
    </r>
    <r>
      <rPr>
        <sz val="10"/>
        <color theme="1"/>
        <rFont val="Arial"/>
        <family val="2"/>
        <charset val="204"/>
        <scheme val="minor"/>
      </rPr>
      <t xml:space="preserve">+ </t>
    </r>
    <r>
      <rPr>
        <sz val="10"/>
        <color rgb="FF0000CC"/>
        <rFont val="Arial"/>
        <family val="2"/>
        <charset val="204"/>
        <scheme val="minor"/>
      </rPr>
      <t xml:space="preserve">[Price_SynchrOption] </t>
    </r>
    <r>
      <rPr>
        <sz val="10"/>
        <color rgb="FFCC00FF"/>
        <rFont val="Arial"/>
        <family val="2"/>
        <charset val="204"/>
        <scheme val="minor"/>
      </rPr>
      <t>and</t>
    </r>
    <r>
      <rPr>
        <sz val="10"/>
        <color theme="1"/>
        <rFont val="Arial"/>
        <family val="2"/>
        <charset val="204"/>
        <scheme val="minor"/>
      </rPr>
      <t xml:space="preserve"> </t>
    </r>
    <r>
      <rPr>
        <sz val="10"/>
        <color rgb="FF0000CC"/>
        <rFont val="Arial"/>
        <family val="2"/>
        <charset val="204"/>
        <scheme val="minor"/>
      </rPr>
      <t xml:space="preserve">[Drawing] </t>
    </r>
    <r>
      <rPr>
        <sz val="10"/>
        <color theme="1"/>
        <rFont val="Arial"/>
        <family val="2"/>
        <charset val="204"/>
        <scheme val="minor"/>
      </rPr>
      <t xml:space="preserve">= </t>
    </r>
    <r>
      <rPr>
        <sz val="10"/>
        <color rgb="FF0000CC"/>
        <rFont val="Arial"/>
        <family val="2"/>
        <charset val="204"/>
        <scheme val="minor"/>
      </rPr>
      <t xml:space="preserve">[Drawing] </t>
    </r>
    <r>
      <rPr>
        <sz val="10"/>
        <color theme="1"/>
        <rFont val="Arial"/>
        <family val="2"/>
        <charset val="204"/>
        <scheme val="minor"/>
      </rPr>
      <t xml:space="preserve">+ </t>
    </r>
    <r>
      <rPr>
        <sz val="10"/>
        <color rgb="FF0000CC"/>
        <rFont val="Arial"/>
        <family val="2"/>
        <charset val="204"/>
        <scheme val="minor"/>
      </rPr>
      <t>[Drawing_Reactor]</t>
    </r>
  </si>
  <si>
    <r>
      <rPr>
        <sz val="10"/>
        <color rgb="FFFF00FF"/>
        <rFont val="Arial"/>
        <family val="2"/>
        <charset val="204"/>
      </rPr>
      <t>If</t>
    </r>
    <r>
      <rPr>
        <sz val="10"/>
        <color theme="1"/>
        <rFont val="Arial"/>
        <family val="2"/>
        <charset val="204"/>
      </rPr>
      <t xml:space="preserve"> </t>
    </r>
    <r>
      <rPr>
        <b/>
        <sz val="10"/>
        <color theme="1"/>
        <rFont val="Arial"/>
        <family val="2"/>
        <charset val="204"/>
      </rPr>
      <t xml:space="preserve"> "IP41" = Да,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FF00FF"/>
        <rFont val="Arial"/>
        <family val="2"/>
        <charset val="204"/>
      </rPr>
      <t>Then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0000CC"/>
        <rFont val="Arial"/>
        <family val="2"/>
        <charset val="204"/>
      </rPr>
      <t xml:space="preserve">[Price_VFD] </t>
    </r>
    <r>
      <rPr>
        <sz val="10"/>
        <color theme="1"/>
        <rFont val="Arial"/>
        <family val="2"/>
        <charset val="204"/>
      </rPr>
      <t xml:space="preserve">= </t>
    </r>
    <r>
      <rPr>
        <sz val="10"/>
        <color rgb="FF0000CC"/>
        <rFont val="Arial"/>
        <family val="2"/>
        <charset val="204"/>
      </rPr>
      <t xml:space="preserve">[Price_VFD] </t>
    </r>
    <r>
      <rPr>
        <sz val="10"/>
        <color theme="1"/>
        <rFont val="Arial"/>
        <family val="2"/>
        <charset val="204"/>
      </rPr>
      <t xml:space="preserve">+ </t>
    </r>
    <r>
      <rPr>
        <sz val="10"/>
        <color rgb="FF0000CC"/>
        <rFont val="Arial"/>
        <family val="2"/>
        <charset val="204"/>
      </rPr>
      <t xml:space="preserve">[Price_IP41] </t>
    </r>
    <r>
      <rPr>
        <sz val="10"/>
        <color rgb="FFFF00FF"/>
        <rFont val="Arial"/>
        <family val="2"/>
        <charset val="204"/>
      </rPr>
      <t>and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0000CC"/>
        <rFont val="Arial"/>
        <family val="2"/>
        <charset val="204"/>
      </rPr>
      <t xml:space="preserve">[IP] </t>
    </r>
    <r>
      <rPr>
        <sz val="10"/>
        <color theme="1"/>
        <rFont val="Arial"/>
        <family val="2"/>
        <charset val="204"/>
      </rPr>
      <t xml:space="preserve">= </t>
    </r>
    <r>
      <rPr>
        <sz val="10"/>
        <color rgb="FF0000CC"/>
        <rFont val="Arial"/>
        <family val="2"/>
        <charset val="204"/>
      </rPr>
      <t>[IP41]</t>
    </r>
  </si>
  <si>
    <r>
      <rPr>
        <sz val="10"/>
        <color rgb="FFFF00FF"/>
        <rFont val="Arial"/>
        <family val="2"/>
        <charset val="204"/>
      </rPr>
      <t>If</t>
    </r>
    <r>
      <rPr>
        <sz val="10"/>
        <color theme="1"/>
        <rFont val="Arial"/>
        <family val="2"/>
        <charset val="204"/>
      </rPr>
      <t xml:space="preserve">  </t>
    </r>
    <r>
      <rPr>
        <b/>
        <sz val="10"/>
        <color theme="1"/>
        <rFont val="Arial"/>
        <family val="2"/>
        <charset val="204"/>
      </rPr>
      <t>"IP42" = Да,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FF00FF"/>
        <rFont val="Arial"/>
        <family val="2"/>
        <charset val="204"/>
      </rPr>
      <t>Then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0000CC"/>
        <rFont val="Arial"/>
        <family val="2"/>
        <charset val="204"/>
      </rPr>
      <t xml:space="preserve">[Price_VFD] </t>
    </r>
    <r>
      <rPr>
        <sz val="10"/>
        <color theme="1"/>
        <rFont val="Arial"/>
        <family val="2"/>
        <charset val="204"/>
      </rPr>
      <t xml:space="preserve">= </t>
    </r>
    <r>
      <rPr>
        <sz val="10"/>
        <color rgb="FF0000CC"/>
        <rFont val="Arial"/>
        <family val="2"/>
        <charset val="204"/>
      </rPr>
      <t xml:space="preserve">[Price_VFD] </t>
    </r>
    <r>
      <rPr>
        <sz val="10"/>
        <color theme="1"/>
        <rFont val="Arial"/>
        <family val="2"/>
        <charset val="204"/>
      </rPr>
      <t xml:space="preserve">+ </t>
    </r>
    <r>
      <rPr>
        <sz val="10"/>
        <color rgb="FF0000CC"/>
        <rFont val="Arial"/>
        <family val="2"/>
        <charset val="204"/>
      </rPr>
      <t xml:space="preserve">[Price_IP42] </t>
    </r>
    <r>
      <rPr>
        <sz val="10"/>
        <color rgb="FFFF00FF"/>
        <rFont val="Arial"/>
        <family val="2"/>
        <charset val="204"/>
      </rPr>
      <t>and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0000CC"/>
        <rFont val="Arial"/>
        <family val="2"/>
        <charset val="204"/>
      </rPr>
      <t xml:space="preserve">[IP] </t>
    </r>
    <r>
      <rPr>
        <sz val="10"/>
        <color theme="1"/>
        <rFont val="Arial"/>
        <family val="2"/>
        <charset val="204"/>
      </rPr>
      <t xml:space="preserve">= </t>
    </r>
    <r>
      <rPr>
        <sz val="10"/>
        <color rgb="FF0000CC"/>
        <rFont val="Arial"/>
        <family val="2"/>
        <charset val="204"/>
      </rPr>
      <t>[IP42]</t>
    </r>
  </si>
  <si>
    <r>
      <rPr>
        <sz val="10"/>
        <color rgb="FFCC00FF"/>
        <rFont val="Arial"/>
        <family val="2"/>
        <charset val="204"/>
        <scheme val="minor"/>
      </rPr>
      <t>If</t>
    </r>
    <r>
      <rPr>
        <sz val="10"/>
        <color theme="1"/>
        <rFont val="Arial"/>
        <family val="2"/>
        <charset val="204"/>
        <scheme val="minor"/>
      </rPr>
      <t xml:space="preserve"> </t>
    </r>
    <r>
      <rPr>
        <b/>
        <sz val="10"/>
        <color theme="1"/>
        <rFont val="Arial"/>
        <family val="2"/>
        <charset val="204"/>
        <scheme val="minor"/>
      </rPr>
      <t xml:space="preserve"> "Предзаряд силовых ячеек" = Да,</t>
    </r>
    <r>
      <rPr>
        <sz val="10"/>
        <color theme="1"/>
        <rFont val="Arial"/>
        <family val="2"/>
        <charset val="204"/>
        <scheme val="minor"/>
      </rPr>
      <t xml:space="preserve"> </t>
    </r>
    <r>
      <rPr>
        <sz val="10"/>
        <color rgb="FFCC00FF"/>
        <rFont val="Arial"/>
        <family val="2"/>
        <charset val="204"/>
        <scheme val="minor"/>
      </rPr>
      <t>Then</t>
    </r>
    <r>
      <rPr>
        <sz val="10"/>
        <color theme="1"/>
        <rFont val="Arial"/>
        <family val="2"/>
        <charset val="204"/>
        <scheme val="minor"/>
      </rPr>
      <t xml:space="preserve"> </t>
    </r>
    <r>
      <rPr>
        <sz val="10"/>
        <color rgb="FF0000CC"/>
        <rFont val="Arial"/>
        <family val="2"/>
        <charset val="204"/>
        <scheme val="minor"/>
      </rPr>
      <t xml:space="preserve">[Price_VFD] </t>
    </r>
    <r>
      <rPr>
        <sz val="10"/>
        <color theme="1"/>
        <rFont val="Arial"/>
        <family val="2"/>
        <charset val="204"/>
        <scheme val="minor"/>
      </rPr>
      <t xml:space="preserve">= </t>
    </r>
    <r>
      <rPr>
        <sz val="10"/>
        <color rgb="FF0000CC"/>
        <rFont val="Arial"/>
        <family val="2"/>
        <charset val="204"/>
        <scheme val="minor"/>
      </rPr>
      <t xml:space="preserve">[Price_VFD] </t>
    </r>
    <r>
      <rPr>
        <sz val="10"/>
        <color theme="1"/>
        <rFont val="Arial"/>
        <family val="2"/>
        <charset val="204"/>
        <scheme val="minor"/>
      </rPr>
      <t xml:space="preserve">+ </t>
    </r>
    <r>
      <rPr>
        <sz val="10"/>
        <color rgb="FF0000CC"/>
        <rFont val="Arial"/>
        <family val="2"/>
        <charset val="204"/>
        <scheme val="minor"/>
      </rPr>
      <t xml:space="preserve">[Price_PreCharge] </t>
    </r>
    <r>
      <rPr>
        <sz val="10"/>
        <color rgb="FFCC00FF"/>
        <rFont val="Arial"/>
        <family val="2"/>
        <charset val="204"/>
        <scheme val="minor"/>
      </rPr>
      <t>and</t>
    </r>
    <r>
      <rPr>
        <sz val="10"/>
        <color theme="1"/>
        <rFont val="Arial"/>
        <family val="2"/>
        <charset val="204"/>
        <scheme val="minor"/>
      </rPr>
      <t xml:space="preserve"> </t>
    </r>
    <r>
      <rPr>
        <sz val="10"/>
        <color rgb="FF0000CC"/>
        <rFont val="Arial"/>
        <family val="2"/>
        <charset val="204"/>
        <scheme val="minor"/>
      </rPr>
      <t xml:space="preserve">[Drawing] </t>
    </r>
    <r>
      <rPr>
        <sz val="10"/>
        <color theme="1"/>
        <rFont val="Arial"/>
        <family val="2"/>
        <charset val="204"/>
        <scheme val="minor"/>
      </rPr>
      <t xml:space="preserve">= </t>
    </r>
    <r>
      <rPr>
        <sz val="10"/>
        <color rgb="FF0000CC"/>
        <rFont val="Arial"/>
        <family val="2"/>
        <charset val="204"/>
        <scheme val="minor"/>
      </rPr>
      <t xml:space="preserve">[Drawing] </t>
    </r>
    <r>
      <rPr>
        <sz val="10"/>
        <color theme="1"/>
        <rFont val="Arial"/>
        <family val="2"/>
        <charset val="204"/>
        <scheme val="minor"/>
      </rPr>
      <t xml:space="preserve">+ </t>
    </r>
    <r>
      <rPr>
        <sz val="10"/>
        <color rgb="FF0000CC"/>
        <rFont val="Arial"/>
        <family val="2"/>
        <charset val="204"/>
        <scheme val="minor"/>
      </rPr>
      <t>[Drawing_PreCharge]</t>
    </r>
  </si>
  <si>
    <r>
      <rPr>
        <sz val="10"/>
        <color rgb="FFFF00FF"/>
        <rFont val="Arial"/>
        <family val="2"/>
        <charset val="204"/>
      </rPr>
      <t>If</t>
    </r>
    <r>
      <rPr>
        <sz val="10"/>
        <color theme="1"/>
        <rFont val="Arial"/>
        <family val="2"/>
        <charset val="204"/>
      </rPr>
      <t xml:space="preserve"> </t>
    </r>
    <r>
      <rPr>
        <b/>
        <sz val="10"/>
        <color theme="1"/>
        <rFont val="Arial"/>
        <family val="2"/>
        <charset val="204"/>
      </rPr>
      <t xml:space="preserve"> "Серия ВПЧ - Минпромторг = Да,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FF00FF"/>
        <rFont val="Arial"/>
        <family val="2"/>
        <charset val="204"/>
      </rPr>
      <t>Then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0000CC"/>
        <rFont val="Arial"/>
        <family val="2"/>
        <charset val="204"/>
      </rPr>
      <t>[VFD_Series_Start]</t>
    </r>
    <r>
      <rPr>
        <sz val="10"/>
        <color theme="1"/>
        <rFont val="Arial"/>
        <family val="2"/>
        <charset val="204"/>
      </rPr>
      <t xml:space="preserve"> = </t>
    </r>
    <r>
      <rPr>
        <sz val="10"/>
        <color rgb="FF0000CC"/>
        <rFont val="Arial"/>
        <family val="2"/>
        <charset val="204"/>
      </rPr>
      <t xml:space="preserve">[VFD_Series_Start (Minprom)]  </t>
    </r>
    <r>
      <rPr>
        <sz val="10"/>
        <color rgb="FFFF00FF"/>
        <rFont val="Arial"/>
        <family val="2"/>
        <charset val="204"/>
      </rPr>
      <t xml:space="preserve">and </t>
    </r>
    <r>
      <rPr>
        <sz val="10"/>
        <color rgb="FF0000CC"/>
        <rFont val="Arial"/>
        <family val="2"/>
        <charset val="204"/>
      </rPr>
      <t xml:space="preserve">[VFD_Series] </t>
    </r>
    <r>
      <rPr>
        <sz val="10"/>
        <color theme="1"/>
        <rFont val="Arial"/>
        <family val="2"/>
        <charset val="204"/>
      </rPr>
      <t xml:space="preserve">= </t>
    </r>
    <r>
      <rPr>
        <sz val="10"/>
        <color rgb="FF0000CC"/>
        <rFont val="Arial"/>
        <family val="2"/>
        <charset val="204"/>
      </rPr>
      <t>[VFD_Series (Minprom)]</t>
    </r>
  </si>
  <si>
    <r>
      <rPr>
        <sz val="10"/>
        <color rgb="FFFF00FF"/>
        <rFont val="Arial"/>
        <family val="2"/>
        <charset val="204"/>
      </rPr>
      <t>If</t>
    </r>
    <r>
      <rPr>
        <sz val="10"/>
        <color theme="1"/>
        <rFont val="Arial"/>
        <family val="2"/>
        <charset val="204"/>
      </rPr>
      <t xml:space="preserve"> </t>
    </r>
    <r>
      <rPr>
        <b/>
        <sz val="10"/>
        <color theme="1"/>
        <rFont val="Arial"/>
        <family val="2"/>
        <charset val="204"/>
      </rPr>
      <t xml:space="preserve"> "Опция: Материал обмоток ТН ВПЧ - Алюминий" = Да,
</t>
    </r>
    <r>
      <rPr>
        <sz val="10"/>
        <color rgb="FFFF00FF"/>
        <rFont val="Arial"/>
        <family val="2"/>
        <charset val="204"/>
      </rPr>
      <t>Then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0000CC"/>
        <rFont val="Arial"/>
        <family val="2"/>
        <charset val="204"/>
      </rPr>
      <t>[Price_VFD]</t>
    </r>
    <r>
      <rPr>
        <sz val="10"/>
        <color theme="1"/>
        <rFont val="Arial"/>
        <family val="2"/>
        <charset val="204"/>
      </rPr>
      <t xml:space="preserve"> = </t>
    </r>
    <r>
      <rPr>
        <sz val="10"/>
        <color rgb="FF0000CC"/>
        <rFont val="Arial"/>
        <family val="2"/>
        <charset val="204"/>
      </rPr>
      <t>[Price_VFD_AlumTrans]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CC00FF"/>
        <rFont val="Arial"/>
        <family val="2"/>
        <charset val="204"/>
      </rPr>
      <t>and</t>
    </r>
    <r>
      <rPr>
        <sz val="10"/>
        <color rgb="FF0000CC"/>
        <rFont val="Arial"/>
        <family val="2"/>
        <charset val="204"/>
      </rPr>
      <t xml:space="preserve"> [Material_trans] </t>
    </r>
    <r>
      <rPr>
        <sz val="10"/>
        <color theme="1"/>
        <rFont val="Arial"/>
        <family val="2"/>
        <charset val="204"/>
      </rPr>
      <t xml:space="preserve">= </t>
    </r>
    <r>
      <rPr>
        <sz val="10"/>
        <color rgb="FF0000CC"/>
        <rFont val="Arial"/>
        <family val="2"/>
        <charset val="204"/>
      </rPr>
      <t>[Material_trans_AlumTrans]</t>
    </r>
  </si>
  <si>
    <r>
      <rPr>
        <sz val="10"/>
        <color rgb="FFFF00FF"/>
        <rFont val="Arial"/>
        <family val="2"/>
        <charset val="204"/>
      </rPr>
      <t>If</t>
    </r>
    <r>
      <rPr>
        <sz val="10"/>
        <color theme="1"/>
        <rFont val="Arial"/>
        <family val="2"/>
        <charset val="204"/>
      </rPr>
      <t xml:space="preserve">  </t>
    </r>
    <r>
      <rPr>
        <b/>
        <sz val="10"/>
        <color theme="1"/>
        <rFont val="Arial"/>
        <family val="2"/>
        <charset val="204"/>
      </rPr>
      <t>"Тип ЭД - синхронный"  = Да,</t>
    </r>
    <r>
      <rPr>
        <sz val="10"/>
        <color theme="1"/>
        <rFont val="Arial"/>
        <family val="2"/>
        <charset val="204"/>
      </rPr>
      <t xml:space="preserve"> 
</t>
    </r>
    <r>
      <rPr>
        <sz val="10"/>
        <color rgb="FFFF00FF"/>
        <rFont val="Arial"/>
        <family val="2"/>
        <charset val="204"/>
      </rPr>
      <t xml:space="preserve">Then </t>
    </r>
    <r>
      <rPr>
        <sz val="10"/>
        <color rgb="FF0000CC"/>
        <rFont val="Arial"/>
        <family val="2"/>
        <charset val="204"/>
      </rPr>
      <t>[Motor_type_full]</t>
    </r>
    <r>
      <rPr>
        <sz val="10"/>
        <color theme="1"/>
        <rFont val="Arial"/>
        <family val="2"/>
        <charset val="204"/>
      </rPr>
      <t xml:space="preserve"> = </t>
    </r>
    <r>
      <rPr>
        <sz val="10"/>
        <color rgb="FF0000CC"/>
        <rFont val="Arial"/>
        <family val="2"/>
        <charset val="204"/>
      </rPr>
      <t xml:space="preserve">[Motor_type_full_Syn] </t>
    </r>
    <r>
      <rPr>
        <sz val="10"/>
        <color rgb="FFFF00FF"/>
        <rFont val="Arial"/>
        <family val="2"/>
        <charset val="204"/>
      </rPr>
      <t xml:space="preserve">and </t>
    </r>
    <r>
      <rPr>
        <sz val="10"/>
        <color rgb="FF0000CC"/>
        <rFont val="Arial"/>
        <family val="2"/>
        <charset val="204"/>
      </rPr>
      <t xml:space="preserve">[Motor_type] </t>
    </r>
    <r>
      <rPr>
        <sz val="10"/>
        <color theme="1"/>
        <rFont val="Arial"/>
        <family val="2"/>
        <charset val="204"/>
      </rPr>
      <t xml:space="preserve">= </t>
    </r>
    <r>
      <rPr>
        <sz val="10"/>
        <color rgb="FF0000CC"/>
        <rFont val="Arial"/>
        <family val="2"/>
        <charset val="204"/>
      </rPr>
      <t>[Motor_type_Syn]</t>
    </r>
  </si>
  <si>
    <r>
      <rPr>
        <sz val="10"/>
        <color rgb="FFFF00FF"/>
        <rFont val="Arial"/>
        <family val="2"/>
        <charset val="204"/>
      </rPr>
      <t>If</t>
    </r>
    <r>
      <rPr>
        <sz val="10"/>
        <color theme="1"/>
        <rFont val="Arial"/>
        <family val="2"/>
        <charset val="204"/>
      </rPr>
      <t xml:space="preserve">  </t>
    </r>
    <r>
      <rPr>
        <b/>
        <sz val="10"/>
        <color theme="1"/>
        <rFont val="Arial"/>
        <family val="2"/>
        <charset val="204"/>
      </rPr>
      <t>"Байпас ВПЧ (автоматический)" = Да,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FF00FF"/>
        <rFont val="Arial"/>
        <family val="2"/>
        <charset val="204"/>
      </rPr>
      <t>Then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0000CC"/>
        <rFont val="Arial"/>
        <family val="2"/>
        <charset val="204"/>
      </rPr>
      <t>[Price_VFD]</t>
    </r>
    <r>
      <rPr>
        <sz val="10"/>
        <color theme="1"/>
        <rFont val="Arial"/>
        <family val="2"/>
        <charset val="204"/>
      </rPr>
      <t xml:space="preserve"> = </t>
    </r>
    <r>
      <rPr>
        <sz val="10"/>
        <color rgb="FF0000CC"/>
        <rFont val="Arial"/>
        <family val="2"/>
        <charset val="204"/>
      </rPr>
      <t xml:space="preserve">[Price_VFD] </t>
    </r>
    <r>
      <rPr>
        <sz val="10"/>
        <color theme="1"/>
        <rFont val="Arial"/>
        <family val="2"/>
        <charset val="204"/>
      </rPr>
      <t xml:space="preserve">+ </t>
    </r>
    <r>
      <rPr>
        <sz val="10"/>
        <color rgb="FF0000CC"/>
        <rFont val="Arial"/>
        <family val="2"/>
        <charset val="204"/>
      </rPr>
      <t xml:space="preserve">[Price_bypassVFD] </t>
    </r>
    <r>
      <rPr>
        <sz val="10"/>
        <color rgb="FFFF00FF"/>
        <rFont val="Arial"/>
        <family val="2"/>
        <charset val="204"/>
      </rPr>
      <t>and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0000CC"/>
        <rFont val="Arial"/>
        <family val="2"/>
        <charset val="204"/>
      </rPr>
      <t xml:space="preserve">[Drawing] </t>
    </r>
    <r>
      <rPr>
        <sz val="10"/>
        <color theme="1"/>
        <rFont val="Arial"/>
        <family val="2"/>
        <charset val="204"/>
      </rPr>
      <t xml:space="preserve">= </t>
    </r>
    <r>
      <rPr>
        <sz val="10"/>
        <color rgb="FF0000CC"/>
        <rFont val="Arial"/>
        <family val="2"/>
        <charset val="204"/>
      </rPr>
      <t xml:space="preserve">[Drawing] </t>
    </r>
    <r>
      <rPr>
        <sz val="10"/>
        <color theme="1"/>
        <rFont val="Arial"/>
        <family val="2"/>
        <charset val="204"/>
      </rPr>
      <t xml:space="preserve">+ </t>
    </r>
    <r>
      <rPr>
        <sz val="10"/>
        <color rgb="FF0000CC"/>
        <rFont val="Arial"/>
        <family val="2"/>
        <charset val="204"/>
      </rPr>
      <t xml:space="preserve">[Drawing_bypassVFD] </t>
    </r>
    <r>
      <rPr>
        <sz val="10"/>
        <color rgb="FFFF00FF"/>
        <rFont val="Arial"/>
        <family val="2"/>
        <charset val="204"/>
      </rPr>
      <t>and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0000CC"/>
        <rFont val="Arial"/>
        <family val="2"/>
        <charset val="204"/>
      </rPr>
      <t xml:space="preserve">[Service_VFD] </t>
    </r>
    <r>
      <rPr>
        <sz val="10"/>
        <color theme="1"/>
        <rFont val="Arial"/>
        <family val="2"/>
        <charset val="204"/>
      </rPr>
      <t xml:space="preserve">= </t>
    </r>
    <r>
      <rPr>
        <sz val="10"/>
        <color rgb="FF0000CC"/>
        <rFont val="Arial"/>
        <family val="2"/>
        <charset val="204"/>
      </rPr>
      <t>[Service_bypassVFD]</t>
    </r>
  </si>
  <si>
    <r>
      <rPr>
        <sz val="10"/>
        <color rgb="FFFF00FF"/>
        <rFont val="Arial"/>
        <family val="2"/>
        <charset val="204"/>
      </rPr>
      <t>If</t>
    </r>
    <r>
      <rPr>
        <sz val="10"/>
        <color theme="1"/>
        <rFont val="Arial"/>
        <family val="2"/>
        <charset val="204"/>
      </rPr>
      <t xml:space="preserve">  </t>
    </r>
    <r>
      <rPr>
        <b/>
        <sz val="10"/>
        <color theme="1"/>
        <rFont val="Arial"/>
        <family val="2"/>
        <charset val="204"/>
      </rPr>
      <t xml:space="preserve">"Ethernet, Modbus TCP"  = Да, </t>
    </r>
    <r>
      <rPr>
        <sz val="10"/>
        <color rgb="FFFF00FF"/>
        <rFont val="Arial"/>
        <family val="2"/>
        <charset val="204"/>
      </rPr>
      <t xml:space="preserve">Then </t>
    </r>
    <r>
      <rPr>
        <sz val="10"/>
        <color rgb="FF0000CC"/>
        <rFont val="Arial"/>
        <family val="2"/>
        <charset val="204"/>
      </rPr>
      <t xml:space="preserve">[Interface] </t>
    </r>
    <r>
      <rPr>
        <sz val="10"/>
        <color theme="1"/>
        <rFont val="Arial"/>
        <family val="2"/>
        <charset val="204"/>
      </rPr>
      <t xml:space="preserve">= </t>
    </r>
    <r>
      <rPr>
        <sz val="10"/>
        <color rgb="FF0000CC"/>
        <rFont val="Arial"/>
        <family val="2"/>
        <charset val="204"/>
      </rPr>
      <t xml:space="preserve">[ModbusTCP] </t>
    </r>
    <r>
      <rPr>
        <sz val="10"/>
        <color rgb="FFFF00FF"/>
        <rFont val="Arial"/>
        <family val="2"/>
        <charset val="204"/>
      </rPr>
      <t>and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0000CC"/>
        <rFont val="Arial"/>
        <family val="2"/>
        <charset val="204"/>
      </rPr>
      <t xml:space="preserve">[Interface_S] </t>
    </r>
    <r>
      <rPr>
        <sz val="10"/>
        <color theme="1"/>
        <rFont val="Arial"/>
        <family val="2"/>
        <charset val="204"/>
      </rPr>
      <t xml:space="preserve">= </t>
    </r>
    <r>
      <rPr>
        <sz val="10"/>
        <color rgb="FF0000CC"/>
        <rFont val="Arial"/>
        <family val="2"/>
        <charset val="204"/>
      </rPr>
      <t xml:space="preserve">[ModbusTCP_S]  </t>
    </r>
    <r>
      <rPr>
        <sz val="10"/>
        <color rgb="FFFF00FF"/>
        <rFont val="Arial"/>
        <family val="2"/>
        <charset val="204"/>
      </rPr>
      <t xml:space="preserve">and </t>
    </r>
    <r>
      <rPr>
        <sz val="10"/>
        <color rgb="FF0000CC"/>
        <rFont val="Arial"/>
        <family val="2"/>
        <charset val="204"/>
      </rPr>
      <t xml:space="preserve">[Price_VFD] </t>
    </r>
    <r>
      <rPr>
        <sz val="10"/>
        <color theme="1"/>
        <rFont val="Arial"/>
        <family val="2"/>
        <charset val="204"/>
      </rPr>
      <t xml:space="preserve">= </t>
    </r>
    <r>
      <rPr>
        <sz val="10"/>
        <color rgb="FF0000CC"/>
        <rFont val="Arial"/>
        <family val="2"/>
        <charset val="204"/>
      </rPr>
      <t xml:space="preserve">[Price_VFD] </t>
    </r>
    <r>
      <rPr>
        <sz val="10"/>
        <color theme="1"/>
        <rFont val="Arial"/>
        <family val="2"/>
        <charset val="204"/>
      </rPr>
      <t>+</t>
    </r>
    <r>
      <rPr>
        <sz val="10"/>
        <color rgb="FF0000CC"/>
        <rFont val="Arial"/>
        <family val="2"/>
        <charset val="204"/>
      </rPr>
      <t xml:space="preserve"> [Price_ModbusTCP]</t>
    </r>
  </si>
  <si>
    <r>
      <rPr>
        <sz val="10"/>
        <color rgb="FFFF00FF"/>
        <rFont val="Arial"/>
        <family val="2"/>
        <charset val="204"/>
      </rPr>
      <t>If</t>
    </r>
    <r>
      <rPr>
        <sz val="10"/>
        <color theme="1"/>
        <rFont val="Arial"/>
        <family val="2"/>
        <charset val="204"/>
      </rPr>
      <t xml:space="preserve">  </t>
    </r>
    <r>
      <rPr>
        <b/>
        <sz val="10"/>
        <color theme="1"/>
        <rFont val="Arial"/>
        <family val="2"/>
        <charset val="204"/>
      </rPr>
      <t xml:space="preserve">"Ethernet, Profinet"  = Да, </t>
    </r>
    <r>
      <rPr>
        <sz val="10"/>
        <color rgb="FFFF00FF"/>
        <rFont val="Arial"/>
        <family val="2"/>
        <charset val="204"/>
      </rPr>
      <t xml:space="preserve">Then </t>
    </r>
    <r>
      <rPr>
        <sz val="10"/>
        <color rgb="FF0000CC"/>
        <rFont val="Arial"/>
        <family val="2"/>
        <charset val="204"/>
      </rPr>
      <t xml:space="preserve">[Interface] </t>
    </r>
    <r>
      <rPr>
        <sz val="10"/>
        <color theme="1"/>
        <rFont val="Arial"/>
        <family val="2"/>
        <charset val="204"/>
      </rPr>
      <t xml:space="preserve">= </t>
    </r>
    <r>
      <rPr>
        <sz val="10"/>
        <color rgb="FF0000CC"/>
        <rFont val="Arial"/>
        <family val="2"/>
        <charset val="204"/>
      </rPr>
      <t xml:space="preserve">[Profinet] </t>
    </r>
    <r>
      <rPr>
        <sz val="10"/>
        <color rgb="FFFF00FF"/>
        <rFont val="Arial"/>
        <family val="2"/>
        <charset val="204"/>
      </rPr>
      <t>and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0000CC"/>
        <rFont val="Arial"/>
        <family val="2"/>
        <charset val="204"/>
      </rPr>
      <t xml:space="preserve">[Interface_S] </t>
    </r>
    <r>
      <rPr>
        <sz val="10"/>
        <color theme="1"/>
        <rFont val="Arial"/>
        <family val="2"/>
        <charset val="204"/>
      </rPr>
      <t xml:space="preserve">= </t>
    </r>
    <r>
      <rPr>
        <sz val="10"/>
        <color rgb="FF0000CC"/>
        <rFont val="Arial"/>
        <family val="2"/>
        <charset val="204"/>
      </rPr>
      <t xml:space="preserve">[Profinet_S] </t>
    </r>
    <r>
      <rPr>
        <sz val="10"/>
        <color rgb="FFFF00FF"/>
        <rFont val="Arial"/>
        <family val="2"/>
        <charset val="204"/>
      </rPr>
      <t xml:space="preserve">and </t>
    </r>
    <r>
      <rPr>
        <sz val="10"/>
        <color rgb="FF0000CC"/>
        <rFont val="Arial"/>
        <family val="2"/>
        <charset val="204"/>
      </rPr>
      <t xml:space="preserve">[Price_VFD] </t>
    </r>
    <r>
      <rPr>
        <sz val="10"/>
        <color theme="1"/>
        <rFont val="Arial"/>
        <family val="2"/>
        <charset val="204"/>
      </rPr>
      <t xml:space="preserve">= </t>
    </r>
    <r>
      <rPr>
        <sz val="10"/>
        <color rgb="FF0000CC"/>
        <rFont val="Arial"/>
        <family val="2"/>
        <charset val="204"/>
      </rPr>
      <t xml:space="preserve">[Price_VFD] </t>
    </r>
    <r>
      <rPr>
        <sz val="10"/>
        <color theme="1"/>
        <rFont val="Arial"/>
        <family val="2"/>
        <charset val="204"/>
      </rPr>
      <t xml:space="preserve">+ </t>
    </r>
    <r>
      <rPr>
        <sz val="10"/>
        <color rgb="FF0000CC"/>
        <rFont val="Arial"/>
        <family val="2"/>
        <charset val="204"/>
      </rPr>
      <t>[Price_Profinet]</t>
    </r>
  </si>
  <si>
    <t>WOLONG</t>
  </si>
  <si>
    <t>RAYNEN</t>
  </si>
  <si>
    <t>6358х1700х2722</t>
  </si>
  <si>
    <t>6658х1700х3056</t>
  </si>
  <si>
    <t>8689х1700х3056</t>
  </si>
  <si>
    <t>9589х1700х3056</t>
  </si>
  <si>
    <t>[Airflow_rate_VFD_mechBypass]</t>
  </si>
  <si>
    <r>
      <rPr>
        <sz val="10"/>
        <color rgb="FFFF00FF"/>
        <rFont val="Arial"/>
        <family val="2"/>
        <charset val="204"/>
      </rPr>
      <t>If</t>
    </r>
    <r>
      <rPr>
        <sz val="10"/>
        <color theme="1"/>
        <rFont val="Arial"/>
        <family val="2"/>
        <charset val="204"/>
      </rPr>
      <t xml:space="preserve">  </t>
    </r>
    <r>
      <rPr>
        <b/>
        <sz val="10"/>
        <color theme="1"/>
        <rFont val="Arial"/>
        <family val="2"/>
        <charset val="204"/>
      </rPr>
      <t>"Байпас неисправной силовой ячейки (Механический)" = Да,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FF00FF"/>
        <rFont val="Arial"/>
        <family val="2"/>
        <charset val="204"/>
      </rPr>
      <t>Then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0000CC"/>
        <rFont val="Arial"/>
        <family val="2"/>
        <charset val="204"/>
      </rPr>
      <t xml:space="preserve">[Price_VFD] </t>
    </r>
    <r>
      <rPr>
        <sz val="10"/>
        <color theme="1"/>
        <rFont val="Arial"/>
        <family val="2"/>
        <charset val="204"/>
      </rPr>
      <t xml:space="preserve">= </t>
    </r>
    <r>
      <rPr>
        <sz val="10"/>
        <color rgb="FF0000CC"/>
        <rFont val="Arial"/>
        <family val="2"/>
        <charset val="204"/>
      </rPr>
      <t xml:space="preserve">[Price_VFD] </t>
    </r>
    <r>
      <rPr>
        <sz val="10"/>
        <color theme="1"/>
        <rFont val="Arial"/>
        <family val="2"/>
        <charset val="204"/>
      </rPr>
      <t xml:space="preserve">+ </t>
    </r>
    <r>
      <rPr>
        <sz val="10"/>
        <color rgb="FF0000CC"/>
        <rFont val="Arial"/>
        <family val="2"/>
        <charset val="204"/>
      </rPr>
      <t xml:space="preserve">[Price_VFD_mechBypass] </t>
    </r>
    <r>
      <rPr>
        <sz val="10"/>
        <color rgb="FFFF00FF"/>
        <rFont val="Arial"/>
        <family val="2"/>
        <charset val="204"/>
      </rPr>
      <t>and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0000CC"/>
        <rFont val="Arial"/>
        <family val="2"/>
        <charset val="204"/>
      </rPr>
      <t xml:space="preserve">[Drawing] </t>
    </r>
    <r>
      <rPr>
        <sz val="10"/>
        <color theme="1"/>
        <rFont val="Arial"/>
        <family val="2"/>
        <charset val="204"/>
      </rPr>
      <t xml:space="preserve">= </t>
    </r>
    <r>
      <rPr>
        <sz val="10"/>
        <color rgb="FF0000CC"/>
        <rFont val="Arial"/>
        <family val="2"/>
        <charset val="204"/>
      </rPr>
      <t xml:space="preserve">[Drawing_VFD_mechBypass] </t>
    </r>
    <r>
      <rPr>
        <sz val="10"/>
        <color rgb="FFFF00FF"/>
        <rFont val="Arial"/>
        <family val="2"/>
        <charset val="204"/>
      </rPr>
      <t>and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0000CC"/>
        <rFont val="Arial"/>
        <family val="2"/>
        <charset val="204"/>
      </rPr>
      <t xml:space="preserve">[VFD_Weight] </t>
    </r>
    <r>
      <rPr>
        <sz val="10"/>
        <color theme="1"/>
        <rFont val="Arial"/>
        <family val="2"/>
        <charset val="204"/>
      </rPr>
      <t xml:space="preserve">= </t>
    </r>
    <r>
      <rPr>
        <sz val="10"/>
        <color rgb="FF0000CC"/>
        <rFont val="Arial"/>
        <family val="2"/>
        <charset val="204"/>
      </rPr>
      <t xml:space="preserve">[VFD_mechBypass_Weight] </t>
    </r>
    <r>
      <rPr>
        <sz val="10"/>
        <color rgb="FFCC00FF"/>
        <rFont val="Arial"/>
        <family val="2"/>
        <charset val="204"/>
      </rPr>
      <t>and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0000CC"/>
        <rFont val="Arial"/>
        <family val="2"/>
        <charset val="204"/>
      </rPr>
      <t xml:space="preserve">[Service_VFD] </t>
    </r>
    <r>
      <rPr>
        <sz val="10"/>
        <color theme="1"/>
        <rFont val="Arial"/>
        <family val="2"/>
        <charset val="204"/>
      </rPr>
      <t xml:space="preserve">= </t>
    </r>
    <r>
      <rPr>
        <sz val="10"/>
        <color rgb="FF0000CC"/>
        <rFont val="Arial"/>
        <family val="2"/>
        <charset val="204"/>
      </rPr>
      <t xml:space="preserve">[Service_VFD_mechBypass] </t>
    </r>
    <r>
      <rPr>
        <sz val="10"/>
        <color rgb="FFCC00FF"/>
        <rFont val="Arial"/>
        <family val="2"/>
      </rPr>
      <t>and</t>
    </r>
    <r>
      <rPr>
        <sz val="10"/>
        <color rgb="FF0000CC"/>
        <rFont val="Arial"/>
        <family val="2"/>
        <charset val="204"/>
      </rPr>
      <t xml:space="preserve"> [Airflow_rate] = [Airflow_rate_VFD_mechBypass]</t>
    </r>
  </si>
  <si>
    <t>4854х1500х2687</t>
  </si>
  <si>
    <t>3952х1400х2687</t>
  </si>
  <si>
    <t>5156х1500х2687</t>
  </si>
  <si>
    <t>3954х1500х2687</t>
  </si>
  <si>
    <t>4254х1500х2687</t>
  </si>
  <si>
    <t>4254х1500х2722</t>
  </si>
  <si>
    <t>5154х1700х2722</t>
  </si>
  <si>
    <t>7860х1700х3056</t>
  </si>
  <si>
    <t>6257х1700х2722</t>
  </si>
  <si>
    <t>5454х1700х2722</t>
  </si>
  <si>
    <t>8460х1700х3056</t>
  </si>
  <si>
    <t>5154х1500х2687</t>
  </si>
  <si>
    <t>6757х1700х2722</t>
  </si>
  <si>
    <t>Компакт</t>
  </si>
  <si>
    <t>C</t>
  </si>
  <si>
    <t>1800х1500х2600</t>
  </si>
  <si>
    <t>2100х1500х2637</t>
  </si>
  <si>
    <t>2400х1500х2637</t>
  </si>
  <si>
    <t>2700х1700х2670</t>
  </si>
  <si>
    <t>Компакт
(Минпромторг)</t>
  </si>
  <si>
    <t>2100х1500х2600</t>
  </si>
  <si>
    <t>2700х1500х2637</t>
  </si>
  <si>
    <t>3000х1700х2789</t>
  </si>
  <si>
    <t>1800х1500х2400</t>
  </si>
  <si>
    <t>2100х1500х2437</t>
  </si>
  <si>
    <t>6кВ, 5 ячеек, серия компакт и серия компакт (Минпром), 1-ст</t>
  </si>
  <si>
    <t>6кВ, 5 ячеек, серия компакт и серия компакт (Минпром) 2-ст</t>
  </si>
  <si>
    <t>1800х1500х2592</t>
  </si>
  <si>
    <t>6кВ, 6 ячеек, серия компакт и серия компакт (Минпром), 1-ст</t>
  </si>
  <si>
    <t>6кВ, 6 ячеек, серия компакт и серия компакт (Минпром) 2-ст</t>
  </si>
  <si>
    <t>10кВ, 8 ячеек, серия компакт и серия компакт (Минпром), 1-ст</t>
  </si>
  <si>
    <t>10кВ, 8 ячеек, серия компакт и серия компакт (Минпром) 2-ст</t>
  </si>
  <si>
    <t>10кВ, 9 ячеек, серия компакт и серия компакт (Минпром), 1-ст</t>
  </si>
  <si>
    <t>10кВ, 9 ячеек, серия компакт и серия компакт (Минпром) 2-ст</t>
  </si>
  <si>
    <t>Рис_С1</t>
  </si>
  <si>
    <t>Рис_С2</t>
  </si>
  <si>
    <t>Рис_С3</t>
  </si>
  <si>
    <t>Рис_С4</t>
  </si>
  <si>
    <t>Рис_С5</t>
  </si>
  <si>
    <t>Рис_С7</t>
  </si>
  <si>
    <t>Рис_С8</t>
  </si>
  <si>
    <t>Рис_С9</t>
  </si>
  <si>
    <t>Рис_С10</t>
  </si>
  <si>
    <t>Рис_С11</t>
  </si>
  <si>
    <t>Рис_С13</t>
  </si>
  <si>
    <t>Рис_С14</t>
  </si>
  <si>
    <t>Рис_С15</t>
  </si>
  <si>
    <t>Рис_С16</t>
  </si>
  <si>
    <t>Рис_С17</t>
  </si>
  <si>
    <t>Рис_С13_1</t>
  </si>
  <si>
    <t>Рис_1</t>
  </si>
  <si>
    <t>Рис_2</t>
  </si>
  <si>
    <t>Рис_3</t>
  </si>
  <si>
    <t>Рис_4</t>
  </si>
  <si>
    <t>Рис_5</t>
  </si>
  <si>
    <t>Рис_6</t>
  </si>
  <si>
    <t>Рис_8</t>
  </si>
  <si>
    <t>Рис_9</t>
  </si>
  <si>
    <t>Рис_11</t>
  </si>
  <si>
    <t>Рис_12</t>
  </si>
  <si>
    <t>Рис_13</t>
  </si>
  <si>
    <t>Рис_14</t>
  </si>
  <si>
    <t>Рис_15</t>
  </si>
  <si>
    <t>Рис_16</t>
  </si>
  <si>
    <t>Рис_18</t>
  </si>
  <si>
    <t>Рис_19</t>
  </si>
  <si>
    <t>Рис_21</t>
  </si>
  <si>
    <t>Рис_22</t>
  </si>
  <si>
    <t>Рис_23</t>
  </si>
  <si>
    <t>Рис_44</t>
  </si>
  <si>
    <t>Рис_45</t>
  </si>
  <si>
    <t>Рис_46</t>
  </si>
  <si>
    <t>Рис_48</t>
  </si>
  <si>
    <t>Рис_50</t>
  </si>
  <si>
    <t>Рис_51</t>
  </si>
  <si>
    <t>Рис_52</t>
  </si>
  <si>
    <t>Рис_54</t>
  </si>
  <si>
    <t>Рис_56</t>
  </si>
  <si>
    <t>Рис_58</t>
  </si>
  <si>
    <t>Рис_59</t>
  </si>
  <si>
    <t>Рис_60</t>
  </si>
  <si>
    <t>Рис_62</t>
  </si>
  <si>
    <t>Опция 7.1: ПЛК управления системой возбуждения
Варианты: Да / Нет</t>
  </si>
  <si>
    <t>Габаритные размеры стандартного ВПЧ, мм (ДхГхВ]</t>
  </si>
  <si>
    <t>8885х1700х3056</t>
  </si>
  <si>
    <t>625х1400х2330</t>
  </si>
  <si>
    <t>Встроенная в корпус ВПЧ</t>
  </si>
  <si>
    <t>Включена в состав ВПЧ</t>
  </si>
  <si>
    <t>9987х1700х3358</t>
  </si>
  <si>
    <t>4252х1500х2687</t>
  </si>
  <si>
    <t>4252х1500х2722</t>
  </si>
  <si>
    <t>10789х1700х3358</t>
  </si>
  <si>
    <t>6557х1800х3057</t>
  </si>
  <si>
    <t>10793х1700х3358</t>
  </si>
  <si>
    <r>
      <t>Производительность вентиляторов охлаждения, м</t>
    </r>
    <r>
      <rPr>
        <b/>
        <vertAlign val="superscript"/>
        <sz val="9"/>
        <color rgb="FF333333"/>
        <rFont val="&quot;\0022Helvetica Neue\0022&quot;"/>
        <charset val="204"/>
      </rPr>
      <t>3</t>
    </r>
    <r>
      <rPr>
        <b/>
        <sz val="9"/>
        <color rgb="FF333333"/>
        <rFont val="&quot;\0022Helvetica Neue\0022&quot;"/>
      </rPr>
      <t>/час</t>
    </r>
  </si>
  <si>
    <t>7057х1800х3057</t>
  </si>
  <si>
    <t>11395х1700х3358</t>
  </si>
  <si>
    <t>Опция 11: Секция ввода/вывода сверху
Варианты: Да/Нет</t>
  </si>
  <si>
    <t>[Price_InOut]</t>
  </si>
  <si>
    <t>[Drawing_InOut]</t>
  </si>
  <si>
    <t>[Dimension_InOut]</t>
  </si>
  <si>
    <t>???х???х???</t>
  </si>
  <si>
    <t>Опция 11</t>
  </si>
  <si>
    <t>[Weight_InOut]</t>
  </si>
  <si>
    <t>[Service_InOut]</t>
  </si>
  <si>
    <t>Опция 12: ПЛК и датчики контроля температуры обмоток и подшипников ЭД (8-10 датчиков PT100)
Варианты: Да / Нет</t>
  </si>
  <si>
    <t>[Price_PLC_Pt100]</t>
  </si>
  <si>
    <t>Рис_24</t>
  </si>
  <si>
    <t>Рис_25</t>
  </si>
  <si>
    <t>Рис_26</t>
  </si>
  <si>
    <t>Рис_27</t>
  </si>
  <si>
    <t>Рис_29</t>
  </si>
  <si>
    <t>Рис_30</t>
  </si>
  <si>
    <t>Рис_32</t>
  </si>
  <si>
    <t>Рис_33</t>
  </si>
  <si>
    <t>Рис_34</t>
  </si>
  <si>
    <t>3052х1400х2686</t>
  </si>
  <si>
    <t>3652х1400х2686</t>
  </si>
  <si>
    <t>Рис_СР_1</t>
  </si>
  <si>
    <t>Рис_СР_2</t>
  </si>
  <si>
    <t>Рис_СР_3</t>
  </si>
  <si>
    <t>925х1468х2685</t>
  </si>
  <si>
    <t>925х1767х2685</t>
  </si>
  <si>
    <t>1225х1743х2722</t>
  </si>
  <si>
    <t>925х1565х2212</t>
  </si>
  <si>
    <t>Рис_35</t>
  </si>
  <si>
    <t>Рис_36</t>
  </si>
  <si>
    <t>Рис_38</t>
  </si>
  <si>
    <t>Рис_39</t>
  </si>
  <si>
    <t>Рис_41</t>
  </si>
  <si>
    <t>Рис_42</t>
  </si>
  <si>
    <t>Рис_43</t>
  </si>
  <si>
    <t>Рис_64</t>
  </si>
  <si>
    <t>Рис_65</t>
  </si>
  <si>
    <t>Рис_66</t>
  </si>
  <si>
    <t>Рис_68</t>
  </si>
  <si>
    <t>Рис_69</t>
  </si>
  <si>
    <t>Рис_70</t>
  </si>
  <si>
    <t>Рис_71</t>
  </si>
  <si>
    <t>Рис_73</t>
  </si>
  <si>
    <t>Рис_75</t>
  </si>
  <si>
    <t>Рис_77</t>
  </si>
  <si>
    <t>Рис_78</t>
  </si>
  <si>
    <t>Рис_79</t>
  </si>
  <si>
    <t>Рис_80</t>
  </si>
  <si>
    <t>Рис_82</t>
  </si>
  <si>
    <t>Рис_СР_С2</t>
  </si>
  <si>
    <t>925х1539х2565</t>
  </si>
  <si>
    <t>Рис_СР_С1</t>
  </si>
  <si>
    <t>925х1563х2365</t>
  </si>
  <si>
    <r>
      <rPr>
        <sz val="10"/>
        <color rgb="FFFF00FF"/>
        <rFont val="Arial"/>
        <family val="2"/>
        <charset val="204"/>
      </rPr>
      <t>If</t>
    </r>
    <r>
      <rPr>
        <sz val="10"/>
        <color theme="1"/>
        <rFont val="Arial"/>
        <family val="2"/>
        <charset val="204"/>
      </rPr>
      <t xml:space="preserve"> </t>
    </r>
    <r>
      <rPr>
        <b/>
        <sz val="10"/>
        <color theme="1"/>
        <rFont val="Arial"/>
        <family val="2"/>
        <charset val="204"/>
      </rPr>
      <t xml:space="preserve"> "ПЛК управления системой возбуждения"  = Да,</t>
    </r>
    <r>
      <rPr>
        <sz val="10"/>
        <color theme="1"/>
        <rFont val="Arial"/>
        <family val="2"/>
        <charset val="204"/>
      </rPr>
      <t xml:space="preserve"> 
</t>
    </r>
    <r>
      <rPr>
        <sz val="10"/>
        <color rgb="FFFF00FF"/>
        <rFont val="Arial"/>
        <family val="2"/>
        <charset val="204"/>
      </rPr>
      <t>Then</t>
    </r>
    <r>
      <rPr>
        <sz val="10"/>
        <color rgb="FF0000CC"/>
        <rFont val="Arial"/>
        <family val="2"/>
        <charset val="204"/>
      </rPr>
      <t xml:space="preserve"> Then [Price_VFD] = [Price_VFD] + [Price_VFD_Syn]</t>
    </r>
  </si>
  <si>
    <r>
      <rPr>
        <sz val="10"/>
        <color rgb="FFFF00FF"/>
        <rFont val="Arial"/>
        <family val="2"/>
        <charset val="204"/>
      </rPr>
      <t>If</t>
    </r>
    <r>
      <rPr>
        <sz val="10"/>
        <color theme="1"/>
        <rFont val="Arial"/>
        <family val="2"/>
        <charset val="204"/>
      </rPr>
      <t xml:space="preserve">  </t>
    </r>
    <r>
      <rPr>
        <b/>
        <sz val="10"/>
        <color theme="1"/>
        <rFont val="Arial"/>
        <family val="2"/>
        <charset val="204"/>
      </rPr>
      <t>"RS-485, Profibus"  = Да,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FF00FF"/>
        <rFont val="Arial"/>
        <family val="2"/>
        <charset val="204"/>
      </rPr>
      <t xml:space="preserve">Then </t>
    </r>
    <r>
      <rPr>
        <sz val="10"/>
        <color rgb="FF0000CC"/>
        <rFont val="Arial"/>
        <family val="2"/>
        <charset val="204"/>
      </rPr>
      <t xml:space="preserve">[Interface] </t>
    </r>
    <r>
      <rPr>
        <sz val="10"/>
        <color theme="1"/>
        <rFont val="Arial"/>
        <family val="2"/>
        <charset val="204"/>
      </rPr>
      <t xml:space="preserve">= </t>
    </r>
    <r>
      <rPr>
        <sz val="10"/>
        <color rgb="FF0000CC"/>
        <rFont val="Arial"/>
        <family val="2"/>
        <charset val="204"/>
      </rPr>
      <t xml:space="preserve">[Profibus] </t>
    </r>
    <r>
      <rPr>
        <sz val="10"/>
        <color rgb="FFFF00FF"/>
        <rFont val="Arial"/>
        <family val="2"/>
        <charset val="204"/>
      </rPr>
      <t>and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0000CC"/>
        <rFont val="Arial"/>
        <family val="2"/>
        <charset val="204"/>
      </rPr>
      <t xml:space="preserve">[Interface_S] </t>
    </r>
    <r>
      <rPr>
        <sz val="10"/>
        <color theme="1"/>
        <rFont val="Arial"/>
        <family val="2"/>
        <charset val="204"/>
      </rPr>
      <t xml:space="preserve">= </t>
    </r>
    <r>
      <rPr>
        <sz val="10"/>
        <color rgb="FF0000CC"/>
        <rFont val="Arial"/>
        <family val="2"/>
        <charset val="204"/>
      </rPr>
      <t xml:space="preserve">[Profibus_S]  </t>
    </r>
    <r>
      <rPr>
        <sz val="10"/>
        <color rgb="FFFF00FF"/>
        <rFont val="Arial"/>
        <family val="2"/>
        <charset val="204"/>
      </rPr>
      <t xml:space="preserve">and </t>
    </r>
    <r>
      <rPr>
        <sz val="10"/>
        <color rgb="FF0000CC"/>
        <rFont val="Arial"/>
        <family val="2"/>
        <charset val="204"/>
      </rPr>
      <t xml:space="preserve">[Price_VFD] </t>
    </r>
    <r>
      <rPr>
        <sz val="10"/>
        <color theme="1"/>
        <rFont val="Arial"/>
        <family val="2"/>
        <charset val="204"/>
      </rPr>
      <t xml:space="preserve">= </t>
    </r>
    <r>
      <rPr>
        <sz val="10"/>
        <color rgb="FF0000CC"/>
        <rFont val="Arial"/>
        <family val="2"/>
        <charset val="204"/>
      </rPr>
      <t xml:space="preserve">[Price_VFD] </t>
    </r>
    <r>
      <rPr>
        <sz val="10"/>
        <color theme="1"/>
        <rFont val="Arial"/>
        <family val="2"/>
        <charset val="204"/>
      </rPr>
      <t xml:space="preserve">+ </t>
    </r>
    <r>
      <rPr>
        <sz val="10"/>
        <color rgb="FF0000CC"/>
        <rFont val="Arial"/>
        <family val="2"/>
        <charset val="204"/>
      </rPr>
      <t>[Price_Profibus]</t>
    </r>
  </si>
  <si>
    <t>Опция 10.1 : RS-485, Profibus</t>
  </si>
  <si>
    <t>Опция 10.2 : Ethernet, Modbus TCP</t>
  </si>
  <si>
    <t>Опция 10.3 : Ethernet, Profinet</t>
  </si>
  <si>
    <r>
      <rPr>
        <sz val="10"/>
        <color rgb="FFCC00FF"/>
        <rFont val="Arial"/>
        <family val="2"/>
        <charset val="204"/>
        <scheme val="minor"/>
      </rPr>
      <t>If</t>
    </r>
    <r>
      <rPr>
        <sz val="10"/>
        <color theme="1"/>
        <rFont val="Arial"/>
        <family val="2"/>
        <charset val="204"/>
        <scheme val="minor"/>
      </rPr>
      <t xml:space="preserve"> </t>
    </r>
    <r>
      <rPr>
        <b/>
        <sz val="10"/>
        <color theme="1"/>
        <rFont val="Arial"/>
        <family val="2"/>
        <charset val="204"/>
        <scheme val="minor"/>
      </rPr>
      <t xml:space="preserve"> "Секция ввода/вывода сверху" = Да,</t>
    </r>
    <r>
      <rPr>
        <sz val="10"/>
        <color theme="1"/>
        <rFont val="Arial"/>
        <family val="2"/>
        <charset val="204"/>
        <scheme val="minor"/>
      </rPr>
      <t xml:space="preserve"> </t>
    </r>
    <r>
      <rPr>
        <sz val="10"/>
        <color rgb="FFCC00FF"/>
        <rFont val="Arial"/>
        <family val="2"/>
        <charset val="204"/>
        <scheme val="minor"/>
      </rPr>
      <t>Then</t>
    </r>
    <r>
      <rPr>
        <sz val="10"/>
        <color theme="1"/>
        <rFont val="Arial"/>
        <family val="2"/>
        <charset val="204"/>
        <scheme val="minor"/>
      </rPr>
      <t xml:space="preserve"> </t>
    </r>
    <r>
      <rPr>
        <sz val="10"/>
        <color rgb="FF0000CC"/>
        <rFont val="Arial"/>
        <family val="2"/>
        <charset val="204"/>
        <scheme val="minor"/>
      </rPr>
      <t xml:space="preserve">[Price_VFD] </t>
    </r>
    <r>
      <rPr>
        <sz val="10"/>
        <color theme="1"/>
        <rFont val="Arial"/>
        <family val="2"/>
        <charset val="204"/>
        <scheme val="minor"/>
      </rPr>
      <t xml:space="preserve">= </t>
    </r>
    <r>
      <rPr>
        <sz val="10"/>
        <color rgb="FF0000CC"/>
        <rFont val="Arial"/>
        <family val="2"/>
        <charset val="204"/>
        <scheme val="minor"/>
      </rPr>
      <t xml:space="preserve">[Price_VFD] </t>
    </r>
    <r>
      <rPr>
        <sz val="10"/>
        <color theme="1"/>
        <rFont val="Arial"/>
        <family val="2"/>
        <charset val="204"/>
        <scheme val="minor"/>
      </rPr>
      <t xml:space="preserve">+ </t>
    </r>
    <r>
      <rPr>
        <sz val="10"/>
        <color rgb="FF0000CC"/>
        <rFont val="Arial"/>
        <family val="2"/>
        <charset val="204"/>
        <scheme val="minor"/>
      </rPr>
      <t xml:space="preserve">[Price_InOut] </t>
    </r>
    <r>
      <rPr>
        <sz val="10"/>
        <color rgb="FFCC00FF"/>
        <rFont val="Arial"/>
        <family val="2"/>
        <charset val="204"/>
        <scheme val="minor"/>
      </rPr>
      <t>and</t>
    </r>
    <r>
      <rPr>
        <sz val="10"/>
        <color theme="1"/>
        <rFont val="Arial"/>
        <family val="2"/>
        <charset val="204"/>
        <scheme val="minor"/>
      </rPr>
      <t xml:space="preserve"> </t>
    </r>
    <r>
      <rPr>
        <sz val="10"/>
        <color rgb="FF0000CC"/>
        <rFont val="Arial"/>
        <family val="2"/>
        <charset val="204"/>
        <scheme val="minor"/>
      </rPr>
      <t xml:space="preserve">[Drawing] </t>
    </r>
    <r>
      <rPr>
        <sz val="10"/>
        <color theme="1"/>
        <rFont val="Arial"/>
        <family val="2"/>
        <charset val="204"/>
        <scheme val="minor"/>
      </rPr>
      <t xml:space="preserve">= </t>
    </r>
    <r>
      <rPr>
        <sz val="10"/>
        <color rgb="FF0000CC"/>
        <rFont val="Arial"/>
        <family val="2"/>
        <charset val="204"/>
        <scheme val="minor"/>
      </rPr>
      <t xml:space="preserve">[Drawing] </t>
    </r>
    <r>
      <rPr>
        <sz val="10"/>
        <color theme="1"/>
        <rFont val="Arial"/>
        <family val="2"/>
        <charset val="204"/>
        <scheme val="minor"/>
      </rPr>
      <t xml:space="preserve">+ </t>
    </r>
    <r>
      <rPr>
        <sz val="10"/>
        <color rgb="FF0000CC"/>
        <rFont val="Arial"/>
        <family val="2"/>
        <charset val="204"/>
        <scheme val="minor"/>
      </rPr>
      <t>[Drawing_InOut]</t>
    </r>
  </si>
  <si>
    <t>Опция 12</t>
  </si>
  <si>
    <r>
      <rPr>
        <sz val="10"/>
        <color rgb="FFFF00FF"/>
        <rFont val="Arial"/>
        <family val="2"/>
        <charset val="204"/>
      </rPr>
      <t>If</t>
    </r>
    <r>
      <rPr>
        <sz val="10"/>
        <color theme="1"/>
        <rFont val="Arial"/>
        <family val="2"/>
        <charset val="204"/>
      </rPr>
      <t xml:space="preserve"> </t>
    </r>
    <r>
      <rPr>
        <b/>
        <sz val="10"/>
        <color theme="1"/>
        <rFont val="Arial"/>
        <family val="2"/>
        <charset val="204"/>
      </rPr>
      <t xml:space="preserve"> "ПЛК и датчики контроля температуры обмоток и подшипников ЭД (8-10 датчиков PT100)"  = Да,</t>
    </r>
    <r>
      <rPr>
        <sz val="10"/>
        <color theme="1"/>
        <rFont val="Arial"/>
        <family val="2"/>
        <charset val="204"/>
      </rPr>
      <t xml:space="preserve"> 
</t>
    </r>
    <r>
      <rPr>
        <sz val="10"/>
        <color rgb="FFFF00FF"/>
        <rFont val="Arial"/>
        <family val="2"/>
        <charset val="204"/>
      </rPr>
      <t>Then</t>
    </r>
    <r>
      <rPr>
        <sz val="10"/>
        <color rgb="FF0000CC"/>
        <rFont val="Arial"/>
        <family val="2"/>
        <charset val="204"/>
      </rPr>
      <t xml:space="preserve"> Then [Price_VFD] = [Price_VFD] + [Price_PLC_Pt100]</t>
    </r>
  </si>
  <si>
    <t>Изменения Конфигуратор v3:
1. Удалена опция 2.2 "Байпас неисправной силовой ячейки (Электронный)"
2. Изменено описание опции 3 - удалено "...and [VFD_Weight] = [VFD_Weight] + [Weight_reactor]"
3. В описание (F) добавлена опция 7.1, 11, 12
4. Изменено описание опции 11 - удалено "and  [VFD_Weight] = [VFD_Weight] +  [Weight_InOut]"
5. Добавлено описание опции 12.</t>
  </si>
  <si>
    <t xml:space="preserve">Одно ниспадающее меню: 
Пусто / Опция 8 </t>
  </si>
  <si>
    <t>Изменения конфигуратор V4
1. Добавлены цены на опцию 2.1 столбец AH строки 31-55
2. Добавлены цены на опцию 2.1 столбец AH строки 81-103
3. Добавлены цены на опцию 2.1 столбец AH строки 130-152
4. Добавлены цены на опцию 2.1 столбец AH строки 186-216
5. Добавлены цены на опцию 2.1 столбец AH строки 218-240
6. Добавлены цены на опцию 2.1 столбец AH строки 242-264
7. Добавлены цены на опцию 2.1 столбец AH строки 266-296
8. Добавлены цены на опцию 2.1 столбец AH строки 298-328
9. Для серии Компакт и Компакт (Минпромторг) опция 5 недоступна - Удалена
10. Добавлены цены на опцию 8 столбец BH строки 106-328
11. Опция 9 удалена. Внесено изменение в описание (F).</t>
  </si>
  <si>
    <r>
      <t xml:space="preserve">Высоковольтный преобразователь частоты. Серия: </t>
    </r>
    <r>
      <rPr>
        <sz val="10"/>
        <color rgb="FF0000FF"/>
        <rFont val="Arial"/>
        <family val="2"/>
        <charset val="204"/>
      </rPr>
      <t>[VFD_Series]</t>
    </r>
    <r>
      <rPr>
        <sz val="10"/>
        <color theme="1"/>
        <rFont val="Arial"/>
        <family val="2"/>
        <charset val="204"/>
      </rPr>
      <t xml:space="preserve">. Технология: Мультиуровневая ШИМ </t>
    </r>
    <r>
      <rPr>
        <sz val="10"/>
        <color rgb="FF0000FF"/>
        <rFont val="Arial"/>
        <family val="2"/>
        <charset val="204"/>
      </rPr>
      <t>[PWM_level]</t>
    </r>
    <r>
      <rPr>
        <sz val="10"/>
        <color theme="1"/>
        <rFont val="Arial"/>
        <family val="2"/>
        <charset val="204"/>
      </rPr>
      <t xml:space="preserve"> уровней. 
Полная мощность трансформатора напряжения: </t>
    </r>
    <r>
      <rPr>
        <sz val="10"/>
        <color rgb="FF0000FF"/>
        <rFont val="Arial"/>
        <family val="2"/>
        <charset val="204"/>
      </rPr>
      <t>[S_trans]</t>
    </r>
    <r>
      <rPr>
        <sz val="10"/>
        <color theme="1"/>
        <rFont val="Arial"/>
        <family val="2"/>
        <charset val="204"/>
      </rPr>
      <t xml:space="preserve"> кВА. 
Входное напряжение: </t>
    </r>
    <r>
      <rPr>
        <sz val="10"/>
        <color rgb="FF0000FF"/>
        <rFont val="Arial"/>
        <family val="2"/>
        <charset val="204"/>
      </rPr>
      <t xml:space="preserve">[V_input] </t>
    </r>
    <r>
      <rPr>
        <sz val="10"/>
        <color theme="1"/>
        <rFont val="Arial"/>
        <family val="2"/>
        <charset val="204"/>
      </rPr>
      <t xml:space="preserve">В +/-10% 50Гц +/-5%.
Выходное напряжение: 0- </t>
    </r>
    <r>
      <rPr>
        <sz val="10"/>
        <color rgb="FF0000FF"/>
        <rFont val="Arial"/>
        <family val="2"/>
        <charset val="204"/>
      </rPr>
      <t xml:space="preserve">[V_output] </t>
    </r>
    <r>
      <rPr>
        <sz val="10"/>
        <color theme="1"/>
        <rFont val="Arial"/>
        <family val="2"/>
        <charset val="204"/>
      </rPr>
      <t>В</t>
    </r>
    <r>
      <rPr>
        <sz val="10"/>
        <color rgb="FF0000FF"/>
        <rFont val="Arial"/>
        <family val="2"/>
        <charset val="204"/>
      </rPr>
      <t xml:space="preserve">. </t>
    </r>
    <r>
      <rPr>
        <sz val="10"/>
        <color theme="1"/>
        <rFont val="Arial"/>
        <family val="2"/>
        <charset val="204"/>
      </rPr>
      <t xml:space="preserve">Выходная частота: 0- </t>
    </r>
    <r>
      <rPr>
        <sz val="10"/>
        <color rgb="FF0000FF"/>
        <rFont val="Arial"/>
        <family val="2"/>
        <charset val="204"/>
      </rPr>
      <t xml:space="preserve">[Freq_output] </t>
    </r>
    <r>
      <rPr>
        <sz val="10"/>
        <color theme="1"/>
        <rFont val="Arial"/>
        <family val="2"/>
        <charset val="204"/>
      </rPr>
      <t xml:space="preserve">Гц. Выходной ток: </t>
    </r>
    <r>
      <rPr>
        <sz val="10"/>
        <color rgb="FF0000FF"/>
        <rFont val="Arial"/>
        <family val="2"/>
        <charset val="204"/>
      </rPr>
      <t>[I_output]</t>
    </r>
    <r>
      <rPr>
        <sz val="10"/>
        <color theme="1"/>
        <rFont val="Arial"/>
        <family val="2"/>
        <charset val="204"/>
      </rPr>
      <t xml:space="preserve"> А.
Тип двигателя: </t>
    </r>
    <r>
      <rPr>
        <sz val="10"/>
        <color rgb="FF0000FF"/>
        <rFont val="Arial"/>
        <family val="2"/>
        <charset val="204"/>
      </rPr>
      <t>[Motor_type_full]</t>
    </r>
    <r>
      <rPr>
        <sz val="10"/>
        <color theme="1"/>
        <rFont val="Arial"/>
        <family val="2"/>
        <charset val="204"/>
      </rPr>
      <t xml:space="preserve">. 
Перегрузочная способность: 120% - 60 секунд, 150% - моментально. Количество квадрантов управления: 2.
Материал обмоток трансформатора: </t>
    </r>
    <r>
      <rPr>
        <sz val="10"/>
        <color rgb="FF0000FF"/>
        <rFont val="Arial"/>
        <family val="2"/>
        <charset val="204"/>
      </rPr>
      <t>[Material_trans]</t>
    </r>
    <r>
      <rPr>
        <sz val="10"/>
        <color theme="1"/>
        <rFont val="Arial"/>
        <family val="2"/>
        <charset val="204"/>
      </rPr>
      <t xml:space="preserve">
Количество силовых ячеек на фазу: </t>
    </r>
    <r>
      <rPr>
        <sz val="10"/>
        <color rgb="FF0000FF"/>
        <rFont val="Arial"/>
        <family val="2"/>
        <charset val="204"/>
      </rPr>
      <t>[Count_power_cell]</t>
    </r>
    <r>
      <rPr>
        <sz val="10"/>
        <color theme="1"/>
        <rFont val="Arial"/>
        <family val="2"/>
        <charset val="204"/>
      </rPr>
      <t xml:space="preserve">. Пульсность:  </t>
    </r>
    <r>
      <rPr>
        <sz val="10"/>
        <color rgb="FF0000FF"/>
        <rFont val="Arial"/>
        <family val="2"/>
        <charset val="204"/>
      </rPr>
      <t>[Count_power_cell]</t>
    </r>
    <r>
      <rPr>
        <sz val="10"/>
        <color theme="1"/>
        <rFont val="Arial"/>
        <family val="2"/>
        <charset val="204"/>
      </rPr>
      <t xml:space="preserve"> * 6. Тип охлаждения: Воздушное.
Степень защиты: IP </t>
    </r>
    <r>
      <rPr>
        <sz val="10"/>
        <color rgb="FF0000FF"/>
        <rFont val="Arial"/>
        <family val="2"/>
        <charset val="204"/>
      </rPr>
      <t>[IP]</t>
    </r>
    <r>
      <rPr>
        <sz val="10"/>
        <color theme="1"/>
        <rFont val="Arial"/>
        <family val="2"/>
        <charset val="204"/>
      </rPr>
      <t xml:space="preserve">. Способ обслуживания: </t>
    </r>
    <r>
      <rPr>
        <sz val="10"/>
        <color rgb="FF0000FF"/>
        <rFont val="Arial"/>
        <family val="2"/>
        <charset val="204"/>
      </rPr>
      <t>[Service_VFD]</t>
    </r>
    <r>
      <rPr>
        <sz val="10"/>
        <color theme="1"/>
        <rFont val="Arial"/>
        <family val="2"/>
        <charset val="204"/>
      </rPr>
      <t xml:space="preserve">. Температура окружающей среды: 0-40 градусов по Цельсию.
Отображение: Сенсорная панель. Интерфейс связи с АСУ ТП: </t>
    </r>
    <r>
      <rPr>
        <sz val="10"/>
        <color rgb="FF0000FF"/>
        <rFont val="Arial"/>
        <family val="2"/>
        <charset val="204"/>
      </rPr>
      <t>[Interface]</t>
    </r>
    <r>
      <rPr>
        <sz val="10"/>
        <color theme="1"/>
        <rFont val="Arial"/>
        <family val="2"/>
        <charset val="204"/>
      </rPr>
      <t xml:space="preserve">. Производительность вентиляторов ВПЧ: </t>
    </r>
    <r>
      <rPr>
        <sz val="10"/>
        <color rgb="FF0000FF"/>
        <rFont val="Arial"/>
        <family val="2"/>
        <charset val="204"/>
      </rPr>
      <t>[Airflow_rate]</t>
    </r>
    <r>
      <rPr>
        <sz val="10"/>
        <rFont val="Arial"/>
        <family val="2"/>
        <charset val="204"/>
      </rPr>
      <t>м</t>
    </r>
    <r>
      <rPr>
        <vertAlign val="superscript"/>
        <sz val="10"/>
        <rFont val="Arial"/>
        <family val="2"/>
        <charset val="204"/>
      </rPr>
      <t>3</t>
    </r>
    <r>
      <rPr>
        <sz val="10"/>
        <rFont val="Arial"/>
        <family val="2"/>
        <charset val="204"/>
      </rPr>
      <t>/ч</t>
    </r>
    <r>
      <rPr>
        <sz val="10"/>
        <color theme="1"/>
        <rFont val="Arial"/>
        <family val="2"/>
        <charset val="204"/>
      </rPr>
      <t xml:space="preserve">. 
Габаритные размеры ВПЧ (ДхГхВ): </t>
    </r>
    <r>
      <rPr>
        <sz val="10"/>
        <color rgb="FF0000FF"/>
        <rFont val="Arial"/>
        <family val="2"/>
        <charset val="204"/>
      </rPr>
      <t>[Dimension_VFD_standart]</t>
    </r>
    <r>
      <rPr>
        <sz val="10"/>
        <color theme="1"/>
        <rFont val="Arial"/>
        <family val="2"/>
        <charset val="204"/>
      </rPr>
      <t xml:space="preserve"> мм. Масса ВПЧ: </t>
    </r>
    <r>
      <rPr>
        <sz val="10"/>
        <color rgb="FF0000CC"/>
        <rFont val="Arial"/>
        <family val="2"/>
        <charset val="204"/>
      </rPr>
      <t xml:space="preserve">[VFD_Weight] </t>
    </r>
    <r>
      <rPr>
        <sz val="10"/>
        <rFont val="Arial"/>
        <family val="2"/>
        <charset val="204"/>
      </rPr>
      <t>кг.</t>
    </r>
    <r>
      <rPr>
        <sz val="10"/>
        <color theme="1"/>
        <rFont val="Arial"/>
        <family val="2"/>
        <charset val="204"/>
      </rPr>
      <t xml:space="preserve">
Функция предзаряда по умолчанию: </t>
    </r>
    <r>
      <rPr>
        <sz val="10"/>
        <color rgb="FF0000FF"/>
        <rFont val="Arial"/>
        <family val="2"/>
        <charset val="204"/>
      </rPr>
      <t>[PrechargeFunction]</t>
    </r>
    <r>
      <rPr>
        <sz val="10"/>
        <color theme="1"/>
        <rFont val="Arial"/>
        <family val="2"/>
        <charset val="204"/>
      </rPr>
      <t xml:space="preserve">. </t>
    </r>
    <r>
      <rPr>
        <sz val="10"/>
        <color rgb="FFFF00FF"/>
        <rFont val="Arial"/>
        <family val="2"/>
        <charset val="204"/>
      </rPr>
      <t>If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0000CC"/>
        <rFont val="Arial"/>
        <family val="2"/>
        <charset val="204"/>
      </rPr>
      <t>[PrechargeFunction]</t>
    </r>
    <r>
      <rPr>
        <sz val="10"/>
        <color theme="1"/>
        <rFont val="Arial"/>
        <family val="2"/>
        <charset val="204"/>
      </rPr>
      <t xml:space="preserve"> = Да, </t>
    </r>
    <r>
      <rPr>
        <sz val="10"/>
        <color rgb="FFFF00FF"/>
        <rFont val="Arial"/>
        <family val="2"/>
        <charset val="204"/>
      </rPr>
      <t>then</t>
    </r>
    <r>
      <rPr>
        <sz val="10"/>
        <color theme="1"/>
        <rFont val="Arial"/>
        <family val="2"/>
        <charset val="204"/>
      </rPr>
      <t xml:space="preserve"> print Исполнение функции предзаряда: </t>
    </r>
    <r>
      <rPr>
        <sz val="10"/>
        <color rgb="FF0000FF"/>
        <rFont val="Arial"/>
        <family val="2"/>
        <charset val="204"/>
      </rPr>
      <t>[PrechargeFunctionExec]</t>
    </r>
    <r>
      <rPr>
        <sz val="10"/>
        <color theme="1"/>
        <rFont val="Arial"/>
        <family val="2"/>
        <charset val="204"/>
      </rPr>
      <t xml:space="preserve">.
Опции:
Наименование опции 2.1 (Если она есть)
Наименование опции 3 (Если она есть). Добавляется секция реактора (СР) стандартно справа от ВПЧ. Габаритные размеры СР: </t>
    </r>
    <r>
      <rPr>
        <sz val="10"/>
        <color rgb="FF0000FF"/>
        <rFont val="Arial"/>
        <family val="2"/>
        <charset val="204"/>
      </rPr>
      <t xml:space="preserve">[Dimension_Reactor] </t>
    </r>
    <r>
      <rPr>
        <sz val="10"/>
        <color theme="1"/>
        <rFont val="Arial"/>
        <family val="2"/>
        <charset val="204"/>
      </rPr>
      <t xml:space="preserve">мм. Производительность вентиляторов СР: </t>
    </r>
    <r>
      <rPr>
        <sz val="10"/>
        <color rgb="FF0000FF"/>
        <rFont val="Arial"/>
        <family val="2"/>
        <charset val="204"/>
      </rPr>
      <t>[Airflow_rate_Reactor]</t>
    </r>
    <r>
      <rPr>
        <sz val="10"/>
        <color theme="1"/>
        <rFont val="Arial"/>
        <family val="2"/>
        <charset val="204"/>
      </rPr>
      <t xml:space="preserve"> м</t>
    </r>
    <r>
      <rPr>
        <vertAlign val="superscript"/>
        <sz val="10"/>
        <color theme="1"/>
        <rFont val="Arial"/>
        <family val="2"/>
        <charset val="204"/>
      </rPr>
      <t>3</t>
    </r>
    <r>
      <rPr>
        <sz val="10"/>
        <color theme="1"/>
        <rFont val="Arial"/>
        <family val="2"/>
        <charset val="204"/>
      </rPr>
      <t xml:space="preserve">/ч. Способ обслуживания СР: </t>
    </r>
    <r>
      <rPr>
        <sz val="10"/>
        <color rgb="FF0000FF"/>
        <rFont val="Arial"/>
        <family val="2"/>
        <charset val="204"/>
      </rPr>
      <t>[Service_Reactor]</t>
    </r>
    <r>
      <rPr>
        <sz val="10"/>
        <color theme="1"/>
        <rFont val="Arial"/>
        <family val="2"/>
        <charset val="204"/>
      </rPr>
      <t xml:space="preserve">. Вес СР: </t>
    </r>
    <r>
      <rPr>
        <sz val="10"/>
        <color rgb="FF0000FF"/>
        <rFont val="Arial"/>
        <family val="2"/>
        <charset val="204"/>
      </rPr>
      <t>[Weight_reactor]</t>
    </r>
    <r>
      <rPr>
        <sz val="10"/>
        <rFont val="Arial"/>
        <family val="2"/>
        <charset val="204"/>
      </rPr>
      <t>кг.</t>
    </r>
    <r>
      <rPr>
        <sz val="10"/>
        <color theme="1"/>
        <rFont val="Arial"/>
        <family val="2"/>
        <charset val="204"/>
      </rPr>
      <t xml:space="preserve">
Наименование опции 5 (Если она есть). Добавляется секция предзаряда (СП) стандартно слева от ВПЧ. Габаритные размеры СП:</t>
    </r>
    <r>
      <rPr>
        <sz val="10"/>
        <color rgb="FF0000FF"/>
        <rFont val="Arial"/>
        <family val="2"/>
        <charset val="204"/>
      </rPr>
      <t xml:space="preserve"> [Dimension_PreCharge]</t>
    </r>
    <r>
      <rPr>
        <sz val="10"/>
        <color theme="1"/>
        <rFont val="Arial"/>
        <family val="2"/>
        <charset val="204"/>
      </rPr>
      <t xml:space="preserve"> мм. Способ обслуживания СП: </t>
    </r>
    <r>
      <rPr>
        <sz val="10"/>
        <color rgb="FF0000FF"/>
        <rFont val="Arial"/>
        <family val="2"/>
        <charset val="204"/>
      </rPr>
      <t>[Service_PreCharge]</t>
    </r>
    <r>
      <rPr>
        <sz val="10"/>
        <color theme="1"/>
        <rFont val="Arial"/>
        <family val="2"/>
        <charset val="204"/>
      </rPr>
      <t xml:space="preserve">. Вес СП: </t>
    </r>
    <r>
      <rPr>
        <sz val="10"/>
        <color rgb="FF0000FF"/>
        <rFont val="Arial"/>
        <family val="2"/>
        <charset val="204"/>
      </rPr>
      <t>[Weight_PreCharge]</t>
    </r>
    <r>
      <rPr>
        <sz val="10"/>
        <color theme="1"/>
        <rFont val="Arial"/>
        <family val="2"/>
        <charset val="204"/>
      </rPr>
      <t xml:space="preserve">кг.
Наименование опции 7.1 (Если она есть).
Наименование опции 8 (Если она есть). Добавляется секция коммутации (СК) стандартно слева от ВПЧ. Габаритные размеры СК: </t>
    </r>
    <r>
      <rPr>
        <sz val="10"/>
        <color rgb="FF0000CC"/>
        <rFont val="Arial"/>
        <family val="2"/>
        <charset val="204"/>
      </rPr>
      <t>[Dimension_bypassVFD]</t>
    </r>
    <r>
      <rPr>
        <sz val="10"/>
        <color theme="1"/>
        <rFont val="Arial"/>
        <family val="2"/>
        <charset val="204"/>
      </rPr>
      <t xml:space="preserve"> мм.
Способ обслуживания СК: </t>
    </r>
    <r>
      <rPr>
        <sz val="10"/>
        <color rgb="FF0000CC"/>
        <rFont val="Arial"/>
        <family val="2"/>
        <charset val="204"/>
      </rPr>
      <t>[Service_bypassVFD]</t>
    </r>
    <r>
      <rPr>
        <sz val="10"/>
        <color theme="1"/>
        <rFont val="Arial"/>
        <family val="2"/>
        <charset val="204"/>
      </rPr>
      <t xml:space="preserve">. Вес СК: </t>
    </r>
    <r>
      <rPr>
        <sz val="10"/>
        <color rgb="FF0000CC"/>
        <rFont val="Arial"/>
        <family val="2"/>
        <charset val="204"/>
      </rPr>
      <t>[Weight_bypassVFD]</t>
    </r>
    <r>
      <rPr>
        <sz val="10"/>
        <color theme="1"/>
        <rFont val="Arial"/>
        <family val="2"/>
        <charset val="204"/>
      </rPr>
      <t xml:space="preserve">кг.
Наименование опции 11 (Если она есть). Добавляется секция ввода/вывода (СВ) стандартно слева от ВПЧ. Габаритные размеры СВ: </t>
    </r>
    <r>
      <rPr>
        <sz val="10"/>
        <color rgb="FF0000CC"/>
        <rFont val="Arial"/>
        <family val="2"/>
        <charset val="204"/>
      </rPr>
      <t xml:space="preserve">[Dimension_InOut] </t>
    </r>
    <r>
      <rPr>
        <sz val="10"/>
        <color theme="1"/>
        <rFont val="Arial"/>
        <family val="2"/>
        <charset val="204"/>
      </rPr>
      <t xml:space="preserve">мм.
Способ обслуживания СВ: </t>
    </r>
    <r>
      <rPr>
        <sz val="10"/>
        <color rgb="FF0000CC"/>
        <rFont val="Arial"/>
        <family val="2"/>
        <charset val="204"/>
      </rPr>
      <t>[Service_InOut]</t>
    </r>
    <r>
      <rPr>
        <sz val="10"/>
        <color theme="1"/>
        <rFont val="Arial"/>
        <family val="2"/>
        <charset val="204"/>
      </rPr>
      <t xml:space="preserve">. Вес СВ: </t>
    </r>
    <r>
      <rPr>
        <sz val="10"/>
        <color rgb="FF0000CC"/>
        <rFont val="Arial"/>
        <family val="2"/>
        <charset val="204"/>
      </rPr>
      <t>[Weight_InOut]</t>
    </r>
    <r>
      <rPr>
        <sz val="10"/>
        <color theme="1"/>
        <rFont val="Arial"/>
        <family val="2"/>
        <charset val="204"/>
      </rPr>
      <t>кг.
Наименование опции 12  (Если она есть).</t>
    </r>
  </si>
  <si>
    <r>
      <t>RU-DRIVE VFD</t>
    </r>
    <r>
      <rPr>
        <sz val="10"/>
        <color rgb="FF0000FF"/>
        <rFont val="Arial"/>
        <family val="2"/>
        <charset val="204"/>
      </rPr>
      <t>[VFD_Series_Start]</t>
    </r>
    <r>
      <rPr>
        <sz val="10"/>
        <color theme="1"/>
        <rFont val="Arial"/>
        <family val="2"/>
        <charset val="204"/>
      </rPr>
      <t>-</t>
    </r>
    <r>
      <rPr>
        <sz val="10"/>
        <color rgb="FF0000FF"/>
        <rFont val="Arial"/>
        <family val="2"/>
        <charset val="204"/>
      </rPr>
      <t>[S_trans]</t>
    </r>
    <r>
      <rPr>
        <sz val="10"/>
        <color theme="1"/>
        <rFont val="Arial"/>
        <family val="2"/>
        <charset val="204"/>
      </rPr>
      <t>-</t>
    </r>
    <r>
      <rPr>
        <sz val="10"/>
        <color rgb="FF0000FF"/>
        <rFont val="Arial"/>
        <family val="2"/>
        <charset val="204"/>
      </rPr>
      <t>[V_input_name][V_output_name]</t>
    </r>
    <r>
      <rPr>
        <sz val="10"/>
        <color theme="1"/>
        <rFont val="Arial"/>
        <family val="2"/>
        <charset val="204"/>
      </rPr>
      <t>-</t>
    </r>
    <r>
      <rPr>
        <sz val="10"/>
        <color rgb="FF0000FF"/>
        <rFont val="Arial"/>
        <family val="2"/>
        <charset val="204"/>
      </rPr>
      <t>[Motor_type]</t>
    </r>
    <r>
      <rPr>
        <sz val="10"/>
        <color theme="1"/>
        <rFont val="Arial"/>
        <family val="2"/>
        <charset val="204"/>
      </rPr>
      <t>-T</t>
    </r>
    <r>
      <rPr>
        <sz val="10"/>
        <color rgb="FF0000FF"/>
        <rFont val="Arial"/>
        <family val="2"/>
        <charset val="204"/>
      </rPr>
      <t>[Count_power_cell]</t>
    </r>
    <r>
      <rPr>
        <sz val="10"/>
        <color theme="1"/>
        <rFont val="Arial"/>
        <family val="2"/>
        <charset val="204"/>
      </rPr>
      <t>-A-</t>
    </r>
    <r>
      <rPr>
        <sz val="10"/>
        <color rgb="FF0000FF"/>
        <rFont val="Arial"/>
        <family val="2"/>
        <charset val="204"/>
      </rPr>
      <t>[IP]</t>
    </r>
    <r>
      <rPr>
        <sz val="10"/>
        <color theme="1"/>
        <rFont val="Arial"/>
        <family val="2"/>
        <charset val="204"/>
      </rPr>
      <t>A-</t>
    </r>
    <r>
      <rPr>
        <sz val="10"/>
        <color rgb="FF0000FF"/>
        <rFont val="Arial"/>
        <family val="2"/>
        <charset val="204"/>
      </rPr>
      <t>[Interface_S]-[VFD_Series_End]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</si>
</sst>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¥-804]#,##0"/>
  </numFmts>
  <fonts count="40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inor"/>
    </font>
    <font>
      <i/>
      <sz val="10"/>
      <color theme="1"/>
      <name val="Arial"/>
      <family val="2"/>
      <charset val="204"/>
      <scheme val="minor"/>
    </font>
    <font>
      <sz val="10"/>
      <name val="Arial"/>
      <family val="2"/>
      <charset val="204"/>
    </font>
    <font>
      <b/>
      <sz val="10"/>
      <color theme="1"/>
      <name val="Arial"/>
      <family val="2"/>
      <charset val="204"/>
      <scheme val="minor"/>
    </font>
    <font>
      <b/>
      <sz val="9"/>
      <color rgb="FF333333"/>
      <name val="&quot;\0022Helvetica Neue\0022&quot;"/>
    </font>
    <font>
      <b/>
      <sz val="9"/>
      <color theme="1"/>
      <name val="Arial"/>
      <family val="2"/>
      <charset val="204"/>
      <scheme val="minor"/>
    </font>
    <font>
      <i/>
      <sz val="10"/>
      <color rgb="FF0000FF"/>
      <name val="Arial"/>
      <family val="2"/>
      <charset val="204"/>
      <scheme val="minor"/>
    </font>
    <font>
      <i/>
      <sz val="10"/>
      <color theme="1"/>
      <name val="Arial"/>
      <family val="2"/>
      <charset val="204"/>
    </font>
    <font>
      <i/>
      <sz val="10"/>
      <color rgb="FF0000FF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FF"/>
      <name val="Arial"/>
      <family val="2"/>
      <charset val="204"/>
    </font>
    <font>
      <sz val="10"/>
      <color rgb="FFFF00FF"/>
      <name val="Arial"/>
      <family val="2"/>
      <charset val="204"/>
    </font>
    <font>
      <sz val="10"/>
      <color theme="1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i/>
      <sz val="10"/>
      <color rgb="FF0000FF"/>
      <name val="Arial"/>
      <family val="2"/>
      <charset val="204"/>
      <scheme val="minor"/>
    </font>
    <font>
      <sz val="10"/>
      <color rgb="FF0000CC"/>
      <name val="Arial"/>
      <family val="2"/>
      <charset val="204"/>
    </font>
    <font>
      <i/>
      <sz val="10"/>
      <color theme="1"/>
      <name val="Arial"/>
      <family val="2"/>
      <charset val="204"/>
      <scheme val="minor"/>
    </font>
    <font>
      <sz val="10"/>
      <color rgb="FFCC00FF"/>
      <name val="Arial"/>
      <family val="2"/>
      <charset val="204"/>
    </font>
    <font>
      <sz val="8"/>
      <name val="Arial"/>
      <family val="2"/>
      <charset val="204"/>
      <scheme val="minor"/>
    </font>
    <font>
      <sz val="9"/>
      <color indexed="81"/>
      <name val="Tahoma"/>
      <family val="2"/>
      <charset val="204"/>
    </font>
    <font>
      <sz val="10"/>
      <color rgb="FF0000CC"/>
      <name val="Arial"/>
      <family val="2"/>
      <charset val="204"/>
      <scheme val="minor"/>
    </font>
    <font>
      <sz val="10"/>
      <color rgb="FFCC00FF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  <font>
      <b/>
      <sz val="10"/>
      <color theme="1"/>
      <name val="Arial"/>
      <family val="2"/>
      <charset val="204"/>
    </font>
    <font>
      <b/>
      <sz val="10"/>
      <color rgb="FFFF0000"/>
      <name val="Arial"/>
      <family val="2"/>
      <charset val="204"/>
      <scheme val="minor"/>
    </font>
    <font>
      <sz val="22"/>
      <color theme="1"/>
      <name val="Arial"/>
      <family val="2"/>
      <charset val="204"/>
      <scheme val="minor"/>
    </font>
    <font>
      <sz val="11"/>
      <color rgb="FF000000"/>
      <name val="Arial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10"/>
      <color rgb="FFCC00FF"/>
      <name val="Arial"/>
      <family val="2"/>
    </font>
    <font>
      <i/>
      <sz val="10"/>
      <color rgb="FF0000FF"/>
      <name val="Arial"/>
      <family val="2"/>
      <scheme val="minor"/>
    </font>
    <font>
      <b/>
      <vertAlign val="superscript"/>
      <sz val="9"/>
      <color rgb="FF333333"/>
      <name val="&quot;\0022Helvetica Neue\0022&quot;"/>
      <charset val="204"/>
    </font>
    <font>
      <vertAlign val="superscript"/>
      <sz val="10"/>
      <name val="Arial"/>
      <family val="2"/>
      <charset val="204"/>
    </font>
    <font>
      <b/>
      <sz val="10"/>
      <color rgb="FF333333"/>
      <name val="Arial"/>
      <family val="2"/>
      <charset val="204"/>
      <scheme val="major"/>
    </font>
    <font>
      <vertAlign val="superscript"/>
      <sz val="10"/>
      <color theme="1"/>
      <name val="Arial"/>
      <family val="2"/>
      <charset val="204"/>
    </font>
    <font>
      <b/>
      <sz val="10"/>
      <color rgb="FF333333"/>
      <name val="Arial"/>
      <family val="2"/>
      <charset val="204"/>
    </font>
    <font>
      <b/>
      <sz val="10"/>
      <color rgb="FF000000"/>
      <name val="Arial"/>
      <family val="2"/>
      <charset val="204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rgb="FFF4CCCC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rgb="FFA4C2F4"/>
      </patternFill>
    </fill>
    <fill>
      <patternFill patternType="solid">
        <fgColor theme="8" tint="0.59999389629810485"/>
        <bgColor rgb="FFF9CB9C"/>
      </patternFill>
    </fill>
    <fill>
      <patternFill patternType="solid">
        <fgColor theme="8" tint="0.59999389629810485"/>
        <bgColor indexed="64"/>
      </patternFill>
    </fill>
  </fills>
  <borders count="8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64" fontId="1" fillId="6" borderId="4" xfId="0" applyNumberFormat="1" applyFont="1" applyFill="1" applyBorder="1" applyAlignment="1">
      <alignment horizontal="center" vertical="center"/>
    </xf>
    <xf numFmtId="164" fontId="1" fillId="7" borderId="2" xfId="0" applyNumberFormat="1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164" fontId="1" fillId="4" borderId="4" xfId="0" applyNumberFormat="1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164" fontId="1" fillId="9" borderId="4" xfId="0" applyNumberFormat="1" applyFont="1" applyFill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 wrapText="1"/>
    </xf>
    <xf numFmtId="164" fontId="1" fillId="11" borderId="4" xfId="0" applyNumberFormat="1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 wrapText="1"/>
    </xf>
    <xf numFmtId="0" fontId="17" fillId="9" borderId="4" xfId="0" applyFont="1" applyFill="1" applyBorder="1" applyAlignment="1">
      <alignment horizontal="center" vertical="center"/>
    </xf>
    <xf numFmtId="164" fontId="17" fillId="7" borderId="2" xfId="0" applyNumberFormat="1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5" borderId="20" xfId="0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164" fontId="1" fillId="0" borderId="22" xfId="0" applyNumberFormat="1" applyFont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64" fontId="1" fillId="0" borderId="19" xfId="0" applyNumberFormat="1" applyFont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4" borderId="30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3" fillId="12" borderId="25" xfId="0" applyFont="1" applyFill="1" applyBorder="1" applyAlignment="1">
      <alignment horizontal="center" vertical="center"/>
    </xf>
    <xf numFmtId="0" fontId="13" fillId="12" borderId="19" xfId="0" applyFont="1" applyFill="1" applyBorder="1" applyAlignment="1">
      <alignment horizontal="center" vertical="center"/>
    </xf>
    <xf numFmtId="0" fontId="13" fillId="12" borderId="30" xfId="0" applyFont="1" applyFill="1" applyBorder="1" applyAlignment="1">
      <alignment horizontal="center" vertical="center"/>
    </xf>
    <xf numFmtId="0" fontId="1" fillId="12" borderId="25" xfId="0" applyFont="1" applyFill="1" applyBorder="1" applyAlignment="1">
      <alignment horizontal="center" vertical="center"/>
    </xf>
    <xf numFmtId="0" fontId="1" fillId="12" borderId="19" xfId="0" applyFont="1" applyFill="1" applyBorder="1" applyAlignment="1">
      <alignment horizontal="center" vertical="center"/>
    </xf>
    <xf numFmtId="0" fontId="1" fillId="12" borderId="30" xfId="0" applyFont="1" applyFill="1" applyBorder="1" applyAlignment="1">
      <alignment horizontal="center" vertical="center"/>
    </xf>
    <xf numFmtId="0" fontId="13" fillId="13" borderId="22" xfId="0" applyFont="1" applyFill="1" applyBorder="1" applyAlignment="1">
      <alignment horizontal="center" vertical="center"/>
    </xf>
    <xf numFmtId="0" fontId="1" fillId="13" borderId="22" xfId="0" applyFont="1" applyFill="1" applyBorder="1" applyAlignment="1">
      <alignment horizontal="center" vertical="center"/>
    </xf>
    <xf numFmtId="0" fontId="1" fillId="13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3" fillId="12" borderId="33" xfId="0" applyFont="1" applyFill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/>
    </xf>
    <xf numFmtId="0" fontId="1" fillId="4" borderId="33" xfId="0" applyFont="1" applyFill="1" applyBorder="1" applyAlignment="1">
      <alignment horizontal="center" vertical="center"/>
    </xf>
    <xf numFmtId="0" fontId="1" fillId="5" borderId="33" xfId="0" applyFont="1" applyFill="1" applyBorder="1" applyAlignment="1">
      <alignment horizontal="center" vertical="center"/>
    </xf>
    <xf numFmtId="0" fontId="1" fillId="12" borderId="33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3" fillId="13" borderId="19" xfId="0" applyFont="1" applyFill="1" applyBorder="1" applyAlignment="1">
      <alignment horizontal="center" vertical="center"/>
    </xf>
    <xf numFmtId="0" fontId="1" fillId="13" borderId="19" xfId="0" applyFont="1" applyFill="1" applyBorder="1" applyAlignment="1">
      <alignment horizontal="center" vertical="center"/>
    </xf>
    <xf numFmtId="0" fontId="13" fillId="13" borderId="25" xfId="0" applyFont="1" applyFill="1" applyBorder="1" applyAlignment="1">
      <alignment horizontal="center" vertical="center"/>
    </xf>
    <xf numFmtId="0" fontId="1" fillId="13" borderId="25" xfId="0" applyFont="1" applyFill="1" applyBorder="1" applyAlignment="1">
      <alignment horizontal="center" vertical="center"/>
    </xf>
    <xf numFmtId="0" fontId="13" fillId="12" borderId="22" xfId="0" applyFont="1" applyFill="1" applyBorder="1" applyAlignment="1">
      <alignment horizontal="center" vertical="center"/>
    </xf>
    <xf numFmtId="0" fontId="1" fillId="12" borderId="22" xfId="0" applyFont="1" applyFill="1" applyBorder="1" applyAlignment="1">
      <alignment horizontal="center" vertical="center"/>
    </xf>
    <xf numFmtId="0" fontId="1" fillId="12" borderId="16" xfId="0" applyFont="1" applyFill="1" applyBorder="1" applyAlignment="1">
      <alignment horizontal="center" vertical="center"/>
    </xf>
    <xf numFmtId="0" fontId="13" fillId="13" borderId="33" xfId="0" applyFont="1" applyFill="1" applyBorder="1" applyAlignment="1">
      <alignment horizontal="center" vertical="center"/>
    </xf>
    <xf numFmtId="0" fontId="1" fillId="13" borderId="33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4" fillId="0" borderId="35" xfId="0" applyFont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17" fillId="0" borderId="42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17" fillId="14" borderId="42" xfId="0" applyFont="1" applyFill="1" applyBorder="1" applyAlignment="1">
      <alignment horizontal="center" vertical="center"/>
    </xf>
    <xf numFmtId="0" fontId="30" fillId="0" borderId="35" xfId="0" applyFont="1" applyBorder="1" applyAlignment="1">
      <alignment horizontal="center" vertical="center"/>
    </xf>
    <xf numFmtId="0" fontId="17" fillId="15" borderId="37" xfId="0" applyFont="1" applyFill="1" applyBorder="1" applyAlignment="1">
      <alignment horizontal="center" vertical="center"/>
    </xf>
    <xf numFmtId="0" fontId="18" fillId="7" borderId="49" xfId="0" applyFont="1" applyFill="1" applyBorder="1" applyAlignment="1">
      <alignment horizontal="center" vertical="center" wrapText="1"/>
    </xf>
    <xf numFmtId="0" fontId="18" fillId="7" borderId="48" xfId="0" applyFont="1" applyFill="1" applyBorder="1" applyAlignment="1">
      <alignment horizontal="center" vertical="center" wrapText="1"/>
    </xf>
    <xf numFmtId="0" fontId="18" fillId="7" borderId="50" xfId="0" applyFont="1" applyFill="1" applyBorder="1" applyAlignment="1">
      <alignment horizontal="center" vertical="center" wrapText="1"/>
    </xf>
    <xf numFmtId="0" fontId="7" fillId="7" borderId="50" xfId="0" applyFont="1" applyFill="1" applyBorder="1" applyAlignment="1">
      <alignment horizontal="center" vertical="center" wrapText="1"/>
    </xf>
    <xf numFmtId="0" fontId="33" fillId="7" borderId="48" xfId="0" applyFont="1" applyFill="1" applyBorder="1" applyAlignment="1">
      <alignment horizontal="center" vertical="center" wrapText="1"/>
    </xf>
    <xf numFmtId="0" fontId="13" fillId="13" borderId="30" xfId="0" applyFont="1" applyFill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7" fillId="0" borderId="52" xfId="0" applyFont="1" applyBorder="1" applyAlignment="1">
      <alignment horizontal="center" vertical="center" wrapText="1"/>
    </xf>
    <xf numFmtId="0" fontId="1" fillId="0" borderId="55" xfId="0" applyFont="1" applyFill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3" borderId="56" xfId="0" applyFont="1" applyFill="1" applyBorder="1" applyAlignment="1">
      <alignment horizontal="center" vertical="center"/>
    </xf>
    <xf numFmtId="0" fontId="1" fillId="4" borderId="56" xfId="0" applyFont="1" applyFill="1" applyBorder="1" applyAlignment="1">
      <alignment horizontal="center" vertical="center"/>
    </xf>
    <xf numFmtId="0" fontId="1" fillId="5" borderId="56" xfId="0" applyFont="1" applyFill="1" applyBorder="1" applyAlignment="1">
      <alignment horizontal="center" vertical="center"/>
    </xf>
    <xf numFmtId="0" fontId="1" fillId="12" borderId="56" xfId="0" applyFont="1" applyFill="1" applyBorder="1" applyAlignment="1">
      <alignment horizontal="center" vertical="center"/>
    </xf>
    <xf numFmtId="0" fontId="13" fillId="12" borderId="56" xfId="0" applyFont="1" applyFill="1" applyBorder="1" applyAlignment="1">
      <alignment horizontal="center" vertical="center"/>
    </xf>
    <xf numFmtId="0" fontId="1" fillId="12" borderId="54" xfId="0" applyFont="1" applyFill="1" applyBorder="1" applyAlignment="1">
      <alignment horizontal="center" vertical="center"/>
    </xf>
    <xf numFmtId="0" fontId="17" fillId="0" borderId="56" xfId="0" applyFont="1" applyBorder="1" applyAlignment="1">
      <alignment horizontal="center" vertical="center"/>
    </xf>
    <xf numFmtId="0" fontId="17" fillId="0" borderId="57" xfId="0" applyFont="1" applyBorder="1" applyAlignment="1">
      <alignment horizontal="center" vertical="center" wrapText="1"/>
    </xf>
    <xf numFmtId="0" fontId="1" fillId="0" borderId="58" xfId="0" applyFont="1" applyFill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3" fillId="12" borderId="59" xfId="0" applyFont="1" applyFill="1" applyBorder="1" applyAlignment="1">
      <alignment horizontal="center" vertical="center"/>
    </xf>
    <xf numFmtId="164" fontId="1" fillId="0" borderId="59" xfId="0" applyNumberFormat="1" applyFont="1" applyBorder="1" applyAlignment="1">
      <alignment horizontal="center" vertical="center"/>
    </xf>
    <xf numFmtId="0" fontId="1" fillId="3" borderId="59" xfId="0" applyFont="1" applyFill="1" applyBorder="1" applyAlignment="1">
      <alignment horizontal="center" vertical="center"/>
    </xf>
    <xf numFmtId="0" fontId="1" fillId="4" borderId="59" xfId="0" applyFont="1" applyFill="1" applyBorder="1" applyAlignment="1">
      <alignment horizontal="center" vertical="center"/>
    </xf>
    <xf numFmtId="0" fontId="1" fillId="5" borderId="59" xfId="0" applyFont="1" applyFill="1" applyBorder="1" applyAlignment="1">
      <alignment horizontal="center" vertical="center"/>
    </xf>
    <xf numFmtId="0" fontId="1" fillId="13" borderId="59" xfId="0" applyFont="1" applyFill="1" applyBorder="1" applyAlignment="1">
      <alignment horizontal="center" vertical="center"/>
    </xf>
    <xf numFmtId="0" fontId="13" fillId="13" borderId="59" xfId="0" applyFont="1" applyFill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12" borderId="59" xfId="0" applyFont="1" applyFill="1" applyBorder="1" applyAlignment="1">
      <alignment horizontal="center" vertical="center"/>
    </xf>
    <xf numFmtId="0" fontId="17" fillId="0" borderId="59" xfId="0" applyFont="1" applyBorder="1" applyAlignment="1">
      <alignment horizontal="center" vertical="center"/>
    </xf>
    <xf numFmtId="0" fontId="17" fillId="0" borderId="60" xfId="0" applyFont="1" applyBorder="1" applyAlignment="1">
      <alignment horizontal="center" vertical="center" wrapText="1"/>
    </xf>
    <xf numFmtId="0" fontId="1" fillId="0" borderId="61" xfId="0" applyFont="1" applyFill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164" fontId="1" fillId="0" borderId="62" xfId="0" applyNumberFormat="1" applyFont="1" applyBorder="1" applyAlignment="1">
      <alignment horizontal="center" vertical="center"/>
    </xf>
    <xf numFmtId="0" fontId="1" fillId="3" borderId="62" xfId="0" applyFont="1" applyFill="1" applyBorder="1" applyAlignment="1">
      <alignment horizontal="center" vertical="center"/>
    </xf>
    <xf numFmtId="0" fontId="1" fillId="4" borderId="62" xfId="0" applyFont="1" applyFill="1" applyBorder="1" applyAlignment="1">
      <alignment horizontal="center" vertical="center"/>
    </xf>
    <xf numFmtId="0" fontId="1" fillId="5" borderId="62" xfId="0" applyFont="1" applyFill="1" applyBorder="1" applyAlignment="1">
      <alignment horizontal="center" vertical="center"/>
    </xf>
    <xf numFmtId="0" fontId="1" fillId="12" borderId="62" xfId="0" applyFont="1" applyFill="1" applyBorder="1" applyAlignment="1">
      <alignment horizontal="center" vertical="center"/>
    </xf>
    <xf numFmtId="0" fontId="13" fillId="12" borderId="62" xfId="0" applyFont="1" applyFill="1" applyBorder="1" applyAlignment="1">
      <alignment horizontal="center" vertical="center"/>
    </xf>
    <xf numFmtId="0" fontId="1" fillId="13" borderId="30" xfId="0" applyFont="1" applyFill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17" fillId="16" borderId="37" xfId="0" applyFont="1" applyFill="1" applyBorder="1" applyAlignment="1">
      <alignment horizontal="center" vertical="center"/>
    </xf>
    <xf numFmtId="0" fontId="17" fillId="15" borderId="38" xfId="0" applyFont="1" applyFill="1" applyBorder="1" applyAlignment="1">
      <alignment horizontal="center" vertical="center"/>
    </xf>
    <xf numFmtId="0" fontId="1" fillId="0" borderId="27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 wrapText="1"/>
    </xf>
    <xf numFmtId="0" fontId="1" fillId="0" borderId="65" xfId="0" applyFont="1" applyBorder="1" applyAlignment="1">
      <alignment horizontal="center" vertical="center"/>
    </xf>
    <xf numFmtId="164" fontId="1" fillId="0" borderId="65" xfId="0" applyNumberFormat="1" applyFont="1" applyBorder="1" applyAlignment="1">
      <alignment horizontal="center" vertical="center"/>
    </xf>
    <xf numFmtId="0" fontId="1" fillId="3" borderId="65" xfId="0" applyFont="1" applyFill="1" applyBorder="1" applyAlignment="1">
      <alignment horizontal="center" vertical="center"/>
    </xf>
    <xf numFmtId="0" fontId="1" fillId="4" borderId="65" xfId="0" applyFont="1" applyFill="1" applyBorder="1" applyAlignment="1">
      <alignment horizontal="center" vertical="center"/>
    </xf>
    <xf numFmtId="0" fontId="1" fillId="5" borderId="65" xfId="0" applyFont="1" applyFill="1" applyBorder="1" applyAlignment="1">
      <alignment horizontal="center" vertical="center"/>
    </xf>
    <xf numFmtId="0" fontId="1" fillId="0" borderId="64" xfId="0" applyFont="1" applyFill="1" applyBorder="1" applyAlignment="1">
      <alignment horizontal="center" vertical="center"/>
    </xf>
    <xf numFmtId="0" fontId="13" fillId="12" borderId="65" xfId="0" applyFont="1" applyFill="1" applyBorder="1" applyAlignment="1">
      <alignment horizontal="center" vertical="center"/>
    </xf>
    <xf numFmtId="0" fontId="1" fillId="12" borderId="65" xfId="0" applyFont="1" applyFill="1" applyBorder="1" applyAlignment="1">
      <alignment horizontal="center" vertical="center"/>
    </xf>
    <xf numFmtId="0" fontId="17" fillId="0" borderId="65" xfId="0" applyFont="1" applyBorder="1" applyAlignment="1">
      <alignment horizontal="center" vertical="center"/>
    </xf>
    <xf numFmtId="0" fontId="17" fillId="0" borderId="66" xfId="0" applyFont="1" applyBorder="1" applyAlignment="1">
      <alignment horizontal="center" vertical="center" wrapText="1"/>
    </xf>
    <xf numFmtId="164" fontId="17" fillId="0" borderId="25" xfId="0" applyNumberFormat="1" applyFont="1" applyBorder="1" applyAlignment="1">
      <alignment horizontal="center" vertical="center"/>
    </xf>
    <xf numFmtId="164" fontId="1" fillId="0" borderId="25" xfId="0" applyNumberFormat="1" applyFont="1" applyFill="1" applyBorder="1" applyAlignment="1">
      <alignment horizontal="center" vertical="center"/>
    </xf>
    <xf numFmtId="164" fontId="1" fillId="0" borderId="19" xfId="0" applyNumberFormat="1" applyFont="1" applyFill="1" applyBorder="1" applyAlignment="1">
      <alignment horizontal="center" vertical="center"/>
    </xf>
    <xf numFmtId="164" fontId="1" fillId="0" borderId="30" xfId="0" applyNumberFormat="1" applyFont="1" applyFill="1" applyBorder="1" applyAlignment="1">
      <alignment horizontal="center" vertical="center"/>
    </xf>
    <xf numFmtId="164" fontId="1" fillId="0" borderId="65" xfId="0" applyNumberFormat="1" applyFont="1" applyFill="1" applyBorder="1" applyAlignment="1">
      <alignment horizontal="center" vertical="center"/>
    </xf>
    <xf numFmtId="164" fontId="1" fillId="0" borderId="33" xfId="0" applyNumberFormat="1" applyFont="1" applyFill="1" applyBorder="1" applyAlignment="1">
      <alignment horizontal="center" vertical="center"/>
    </xf>
    <xf numFmtId="164" fontId="1" fillId="0" borderId="62" xfId="0" applyNumberFormat="1" applyFont="1" applyFill="1" applyBorder="1" applyAlignment="1">
      <alignment horizontal="center" vertical="center"/>
    </xf>
    <xf numFmtId="164" fontId="1" fillId="0" borderId="59" xfId="0" applyNumberFormat="1" applyFont="1" applyFill="1" applyBorder="1" applyAlignment="1">
      <alignment horizontal="center" vertical="center"/>
    </xf>
    <xf numFmtId="164" fontId="1" fillId="0" borderId="22" xfId="0" applyNumberFormat="1" applyFont="1" applyFill="1" applyBorder="1" applyAlignment="1">
      <alignment horizontal="center" vertical="center"/>
    </xf>
    <xf numFmtId="164" fontId="1" fillId="0" borderId="56" xfId="0" applyNumberFormat="1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center" vertical="center"/>
    </xf>
    <xf numFmtId="0" fontId="1" fillId="15" borderId="37" xfId="0" applyFont="1" applyFill="1" applyBorder="1" applyAlignment="1">
      <alignment horizontal="center" vertical="center"/>
    </xf>
    <xf numFmtId="0" fontId="1" fillId="14" borderId="37" xfId="0" applyFont="1" applyFill="1" applyBorder="1" applyAlignment="1">
      <alignment horizontal="center" vertical="center"/>
    </xf>
    <xf numFmtId="0" fontId="1" fillId="15" borderId="38" xfId="0" applyFont="1" applyFill="1" applyBorder="1" applyAlignment="1">
      <alignment horizontal="center" vertical="center"/>
    </xf>
    <xf numFmtId="164" fontId="1" fillId="0" borderId="4" xfId="0" applyNumberFormat="1" applyFont="1" applyFill="1" applyBorder="1" applyAlignment="1">
      <alignment horizontal="center" vertical="center"/>
    </xf>
    <xf numFmtId="0" fontId="7" fillId="17" borderId="4" xfId="0" applyFont="1" applyFill="1" applyBorder="1" applyAlignment="1">
      <alignment horizontal="center" vertical="center" wrapText="1"/>
    </xf>
    <xf numFmtId="164" fontId="1" fillId="17" borderId="4" xfId="0" applyNumberFormat="1" applyFont="1" applyFill="1" applyBorder="1" applyAlignment="1">
      <alignment horizontal="center" vertical="center"/>
    </xf>
    <xf numFmtId="0" fontId="13" fillId="17" borderId="4" xfId="0" applyFont="1" applyFill="1" applyBorder="1" applyAlignment="1">
      <alignment horizontal="center" vertical="center"/>
    </xf>
    <xf numFmtId="0" fontId="1" fillId="17" borderId="4" xfId="0" applyFont="1" applyFill="1" applyBorder="1" applyAlignment="1">
      <alignment horizontal="center" vertical="center"/>
    </xf>
    <xf numFmtId="0" fontId="26" fillId="19" borderId="35" xfId="0" applyFont="1" applyFill="1" applyBorder="1" applyAlignment="1">
      <alignment horizontal="center" vertical="center" wrapText="1"/>
    </xf>
    <xf numFmtId="0" fontId="10" fillId="19" borderId="40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3" fillId="7" borderId="50" xfId="0" applyFont="1" applyFill="1" applyBorder="1" applyAlignment="1">
      <alignment horizontal="center" vertical="center"/>
    </xf>
    <xf numFmtId="164" fontId="1" fillId="7" borderId="72" xfId="0" applyNumberFormat="1" applyFont="1" applyFill="1" applyBorder="1" applyAlignment="1">
      <alignment horizontal="center" vertical="center"/>
    </xf>
    <xf numFmtId="164" fontId="17" fillId="7" borderId="73" xfId="0" applyNumberFormat="1" applyFont="1" applyFill="1" applyBorder="1" applyAlignment="1">
      <alignment horizontal="center" vertical="center"/>
    </xf>
    <xf numFmtId="0" fontId="13" fillId="7" borderId="72" xfId="0" applyFont="1" applyFill="1" applyBorder="1" applyAlignment="1">
      <alignment horizontal="center" vertical="center"/>
    </xf>
    <xf numFmtId="0" fontId="1" fillId="7" borderId="72" xfId="0" applyFont="1" applyFill="1" applyBorder="1" applyAlignment="1">
      <alignment horizontal="center" vertical="center"/>
    </xf>
    <xf numFmtId="164" fontId="1" fillId="7" borderId="75" xfId="0" applyNumberFormat="1" applyFont="1" applyFill="1" applyBorder="1" applyAlignment="1">
      <alignment horizontal="center" vertical="center"/>
    </xf>
    <xf numFmtId="164" fontId="17" fillId="7" borderId="76" xfId="0" applyNumberFormat="1" applyFont="1" applyFill="1" applyBorder="1" applyAlignment="1">
      <alignment horizontal="center" vertical="center"/>
    </xf>
    <xf numFmtId="0" fontId="13" fillId="7" borderId="75" xfId="0" applyFont="1" applyFill="1" applyBorder="1" applyAlignment="1">
      <alignment horizontal="center" vertical="center"/>
    </xf>
    <xf numFmtId="0" fontId="1" fillId="7" borderId="75" xfId="0" applyFont="1" applyFill="1" applyBorder="1" applyAlignment="1">
      <alignment horizontal="center" vertical="center"/>
    </xf>
    <xf numFmtId="164" fontId="1" fillId="7" borderId="4" xfId="0" applyNumberFormat="1" applyFont="1" applyFill="1" applyBorder="1" applyAlignment="1">
      <alignment horizontal="center" vertical="center"/>
    </xf>
    <xf numFmtId="0" fontId="13" fillId="7" borderId="56" xfId="0" applyFont="1" applyFill="1" applyBorder="1" applyAlignment="1">
      <alignment horizontal="center" vertical="center"/>
    </xf>
    <xf numFmtId="164" fontId="1" fillId="7" borderId="74" xfId="0" applyNumberFormat="1" applyFont="1" applyFill="1" applyBorder="1" applyAlignment="1">
      <alignment horizontal="center" vertical="center"/>
    </xf>
    <xf numFmtId="164" fontId="17" fillId="7" borderId="77" xfId="0" applyNumberFormat="1" applyFont="1" applyFill="1" applyBorder="1" applyAlignment="1">
      <alignment horizontal="center" vertical="center"/>
    </xf>
    <xf numFmtId="0" fontId="13" fillId="7" borderId="74" xfId="0" applyFont="1" applyFill="1" applyBorder="1" applyAlignment="1">
      <alignment horizontal="center" vertical="center"/>
    </xf>
    <xf numFmtId="0" fontId="1" fillId="7" borderId="74" xfId="0" applyFont="1" applyFill="1" applyBorder="1" applyAlignment="1">
      <alignment horizontal="center" vertical="center"/>
    </xf>
    <xf numFmtId="164" fontId="1" fillId="4" borderId="50" xfId="0" applyNumberFormat="1" applyFont="1" applyFill="1" applyBorder="1" applyAlignment="1">
      <alignment horizontal="center" vertical="center"/>
    </xf>
    <xf numFmtId="0" fontId="13" fillId="4" borderId="50" xfId="0" applyFont="1" applyFill="1" applyBorder="1" applyAlignment="1">
      <alignment horizontal="center" vertical="center"/>
    </xf>
    <xf numFmtId="0" fontId="1" fillId="4" borderId="50" xfId="0" applyFont="1" applyFill="1" applyBorder="1" applyAlignment="1">
      <alignment horizontal="center" vertical="center"/>
    </xf>
    <xf numFmtId="164" fontId="1" fillId="4" borderId="72" xfId="0" applyNumberFormat="1" applyFont="1" applyFill="1" applyBorder="1" applyAlignment="1">
      <alignment horizontal="center" vertical="center"/>
    </xf>
    <xf numFmtId="0" fontId="13" fillId="4" borderId="72" xfId="0" applyFont="1" applyFill="1" applyBorder="1" applyAlignment="1">
      <alignment horizontal="center" vertical="center"/>
    </xf>
    <xf numFmtId="0" fontId="1" fillId="4" borderId="72" xfId="0" applyFont="1" applyFill="1" applyBorder="1" applyAlignment="1">
      <alignment horizontal="center" vertical="center"/>
    </xf>
    <xf numFmtId="164" fontId="1" fillId="4" borderId="75" xfId="0" applyNumberFormat="1" applyFont="1" applyFill="1" applyBorder="1" applyAlignment="1">
      <alignment horizontal="center" vertical="center"/>
    </xf>
    <xf numFmtId="0" fontId="13" fillId="4" borderId="75" xfId="0" applyFont="1" applyFill="1" applyBorder="1" applyAlignment="1">
      <alignment horizontal="center" vertical="center"/>
    </xf>
    <xf numFmtId="0" fontId="1" fillId="4" borderId="75" xfId="0" applyFont="1" applyFill="1" applyBorder="1" applyAlignment="1">
      <alignment horizontal="center" vertical="center"/>
    </xf>
    <xf numFmtId="164" fontId="17" fillId="7" borderId="48" xfId="0" applyNumberFormat="1" applyFont="1" applyFill="1" applyBorder="1" applyAlignment="1">
      <alignment horizontal="center" vertical="center"/>
    </xf>
    <xf numFmtId="0" fontId="1" fillId="7" borderId="50" xfId="0" applyFont="1" applyFill="1" applyBorder="1" applyAlignment="1">
      <alignment horizontal="center" vertical="center"/>
    </xf>
    <xf numFmtId="164" fontId="17" fillId="7" borderId="4" xfId="0" applyNumberFormat="1" applyFont="1" applyFill="1" applyBorder="1" applyAlignment="1">
      <alignment horizontal="center" vertical="center"/>
    </xf>
    <xf numFmtId="164" fontId="17" fillId="7" borderId="72" xfId="0" applyNumberFormat="1" applyFont="1" applyFill="1" applyBorder="1" applyAlignment="1">
      <alignment horizontal="center" vertical="center"/>
    </xf>
    <xf numFmtId="164" fontId="17" fillId="7" borderId="75" xfId="0" applyNumberFormat="1" applyFont="1" applyFill="1" applyBorder="1" applyAlignment="1">
      <alignment horizontal="center" vertical="center"/>
    </xf>
    <xf numFmtId="164" fontId="17" fillId="7" borderId="74" xfId="0" applyNumberFormat="1" applyFont="1" applyFill="1" applyBorder="1" applyAlignment="1">
      <alignment horizontal="center" vertical="center"/>
    </xf>
    <xf numFmtId="164" fontId="1" fillId="7" borderId="48" xfId="0" applyNumberFormat="1" applyFont="1" applyFill="1" applyBorder="1" applyAlignment="1">
      <alignment horizontal="center" vertical="center"/>
    </xf>
    <xf numFmtId="164" fontId="1" fillId="4" borderId="74" xfId="0" applyNumberFormat="1" applyFont="1" applyFill="1" applyBorder="1" applyAlignment="1">
      <alignment horizontal="center" vertical="center"/>
    </xf>
    <xf numFmtId="0" fontId="13" fillId="4" borderId="74" xfId="0" applyFont="1" applyFill="1" applyBorder="1" applyAlignment="1">
      <alignment horizontal="center" vertical="center"/>
    </xf>
    <xf numFmtId="0" fontId="1" fillId="4" borderId="74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164" fontId="1" fillId="4" borderId="20" xfId="0" applyNumberFormat="1" applyFont="1" applyFill="1" applyBorder="1" applyAlignment="1">
      <alignment horizontal="center" vertical="center"/>
    </xf>
    <xf numFmtId="0" fontId="13" fillId="4" borderId="20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164" fontId="1" fillId="4" borderId="56" xfId="0" applyNumberFormat="1" applyFont="1" applyFill="1" applyBorder="1" applyAlignment="1">
      <alignment horizontal="center" vertical="center"/>
    </xf>
    <xf numFmtId="0" fontId="13" fillId="4" borderId="56" xfId="0" applyFont="1" applyFill="1" applyBorder="1" applyAlignment="1">
      <alignment horizontal="center" vertical="center"/>
    </xf>
    <xf numFmtId="164" fontId="1" fillId="4" borderId="19" xfId="0" applyNumberFormat="1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/>
    </xf>
    <xf numFmtId="0" fontId="3" fillId="0" borderId="3" xfId="0" applyFont="1" applyBorder="1" applyAlignment="1"/>
    <xf numFmtId="0" fontId="36" fillId="6" borderId="35" xfId="0" applyFont="1" applyFill="1" applyBorder="1" applyAlignment="1">
      <alignment horizontal="center" vertical="center" wrapText="1"/>
    </xf>
    <xf numFmtId="0" fontId="4" fillId="7" borderId="35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4" fillId="6" borderId="35" xfId="0" applyFont="1" applyFill="1" applyBorder="1" applyAlignment="1">
      <alignment horizontal="center" vertical="center" wrapText="1"/>
    </xf>
    <xf numFmtId="0" fontId="4" fillId="8" borderId="35" xfId="0" applyFont="1" applyFill="1" applyBorder="1" applyAlignment="1">
      <alignment horizontal="center" vertical="center" wrapText="1"/>
    </xf>
    <xf numFmtId="0" fontId="4" fillId="9" borderId="35" xfId="0" applyFont="1" applyFill="1" applyBorder="1" applyAlignment="1">
      <alignment horizontal="center" vertical="center" wrapText="1"/>
    </xf>
    <xf numFmtId="0" fontId="4" fillId="10" borderId="35" xfId="0" applyFont="1" applyFill="1" applyBorder="1" applyAlignment="1">
      <alignment horizontal="center" vertical="center" wrapText="1"/>
    </xf>
    <xf numFmtId="0" fontId="5" fillId="20" borderId="4" xfId="0" applyFont="1" applyFill="1" applyBorder="1" applyAlignment="1">
      <alignment horizontal="center" vertical="center" wrapText="1"/>
    </xf>
    <xf numFmtId="0" fontId="7" fillId="20" borderId="4" xfId="0" applyFont="1" applyFill="1" applyBorder="1" applyAlignment="1">
      <alignment horizontal="center" vertical="center" wrapText="1"/>
    </xf>
    <xf numFmtId="164" fontId="1" fillId="20" borderId="4" xfId="0" applyNumberFormat="1" applyFont="1" applyFill="1" applyBorder="1" applyAlignment="1">
      <alignment horizontal="center" vertical="center"/>
    </xf>
    <xf numFmtId="0" fontId="7" fillId="21" borderId="4" xfId="0" applyFont="1" applyFill="1" applyBorder="1" applyAlignment="1">
      <alignment horizontal="center" vertical="center" wrapText="1"/>
    </xf>
    <xf numFmtId="0" fontId="1" fillId="21" borderId="4" xfId="0" applyFont="1" applyFill="1" applyBorder="1" applyAlignment="1">
      <alignment horizontal="center" vertical="center"/>
    </xf>
    <xf numFmtId="0" fontId="4" fillId="22" borderId="35" xfId="0" applyFont="1" applyFill="1" applyBorder="1" applyAlignment="1">
      <alignment horizontal="center" vertical="center" wrapText="1"/>
    </xf>
    <xf numFmtId="0" fontId="16" fillId="22" borderId="40" xfId="0" applyFont="1" applyFill="1" applyBorder="1" applyAlignment="1">
      <alignment horizontal="center" vertical="center" wrapText="1"/>
    </xf>
    <xf numFmtId="0" fontId="26" fillId="22" borderId="35" xfId="0" applyFont="1" applyFill="1" applyBorder="1" applyAlignment="1">
      <alignment horizontal="center" vertical="center" wrapText="1"/>
    </xf>
    <xf numFmtId="0" fontId="10" fillId="22" borderId="40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" fillId="18" borderId="40" xfId="0" applyFont="1" applyFill="1" applyBorder="1" applyAlignment="1">
      <alignment horizontal="center" vertical="center" wrapText="1"/>
    </xf>
    <xf numFmtId="0" fontId="36" fillId="11" borderId="35" xfId="0" applyFont="1" applyFill="1" applyBorder="1" applyAlignment="1">
      <alignment horizontal="center" vertical="center" wrapText="1"/>
    </xf>
    <xf numFmtId="0" fontId="38" fillId="11" borderId="35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vertical="center" wrapText="1"/>
    </xf>
    <xf numFmtId="0" fontId="10" fillId="0" borderId="78" xfId="0" applyFont="1" applyBorder="1" applyAlignment="1">
      <alignment vertical="center" wrapText="1"/>
    </xf>
    <xf numFmtId="0" fontId="7" fillId="7" borderId="33" xfId="0" applyFont="1" applyFill="1" applyBorder="1" applyAlignment="1">
      <alignment horizontal="center" vertical="center" wrapText="1"/>
    </xf>
    <xf numFmtId="0" fontId="17" fillId="7" borderId="72" xfId="0" applyFont="1" applyFill="1" applyBorder="1" applyAlignment="1">
      <alignment horizontal="center" vertical="center"/>
    </xf>
    <xf numFmtId="0" fontId="17" fillId="7" borderId="75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22" borderId="0" xfId="0" applyFont="1" applyFill="1" applyAlignment="1">
      <alignment horizontal="center"/>
    </xf>
    <xf numFmtId="0" fontId="39" fillId="18" borderId="78" xfId="0" applyFont="1" applyFill="1" applyBorder="1" applyAlignment="1">
      <alignment horizontal="left" vertical="center" wrapText="1"/>
    </xf>
    <xf numFmtId="0" fontId="39" fillId="18" borderId="0" xfId="0" applyFont="1" applyFill="1" applyBorder="1" applyAlignment="1">
      <alignment horizontal="left" vertical="center" wrapText="1"/>
    </xf>
    <xf numFmtId="0" fontId="39" fillId="18" borderId="39" xfId="0" applyFont="1" applyFill="1" applyBorder="1" applyAlignment="1">
      <alignment horizontal="left" vertical="center" wrapText="1"/>
    </xf>
    <xf numFmtId="0" fontId="39" fillId="18" borderId="47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9" fillId="0" borderId="39" xfId="0" applyFont="1" applyBorder="1" applyAlignment="1">
      <alignment horizontal="center" vertical="center"/>
    </xf>
    <xf numFmtId="0" fontId="29" fillId="0" borderId="43" xfId="0" applyFont="1" applyBorder="1" applyAlignment="1">
      <alignment horizontal="center" vertical="center"/>
    </xf>
    <xf numFmtId="0" fontId="29" fillId="0" borderId="47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10" fillId="0" borderId="79" xfId="0" applyFont="1" applyBorder="1" applyAlignment="1">
      <alignment horizontal="left" vertical="center" wrapText="1"/>
    </xf>
    <xf numFmtId="0" fontId="10" fillId="0" borderId="80" xfId="0" applyFont="1" applyBorder="1" applyAlignment="1">
      <alignment horizontal="left" vertical="center" wrapText="1"/>
    </xf>
    <xf numFmtId="0" fontId="10" fillId="0" borderId="81" xfId="0" applyFont="1" applyBorder="1" applyAlignment="1">
      <alignment horizontal="left" vertical="center" wrapText="1"/>
    </xf>
    <xf numFmtId="0" fontId="10" fillId="0" borderId="69" xfId="0" applyFont="1" applyBorder="1" applyAlignment="1">
      <alignment horizontal="center" vertical="center" wrapText="1"/>
    </xf>
    <xf numFmtId="0" fontId="10" fillId="0" borderId="70" xfId="0" applyFont="1" applyBorder="1" applyAlignment="1">
      <alignment horizontal="center" vertical="center" wrapText="1"/>
    </xf>
    <xf numFmtId="0" fontId="10" fillId="0" borderId="71" xfId="0" applyFont="1" applyBorder="1" applyAlignment="1">
      <alignment horizontal="center" vertical="center" wrapText="1"/>
    </xf>
    <xf numFmtId="0" fontId="10" fillId="0" borderId="67" xfId="0" applyFont="1" applyBorder="1" applyAlignment="1">
      <alignment horizontal="left" vertical="center" wrapText="1"/>
    </xf>
    <xf numFmtId="0" fontId="10" fillId="0" borderId="68" xfId="0" applyFont="1" applyBorder="1" applyAlignment="1">
      <alignment horizontal="left" vertical="center" wrapText="1"/>
    </xf>
    <xf numFmtId="0" fontId="10" fillId="0" borderId="57" xfId="0" applyFont="1" applyBorder="1" applyAlignment="1">
      <alignment horizontal="left" vertical="center" wrapText="1"/>
    </xf>
    <xf numFmtId="0" fontId="1" fillId="0" borderId="70" xfId="0" applyFont="1" applyBorder="1" applyAlignment="1">
      <alignment horizontal="center" vertical="center" wrapText="1"/>
    </xf>
    <xf numFmtId="0" fontId="1" fillId="0" borderId="7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  <xf numFmtId="0" fontId="2" fillId="0" borderId="14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3" fillId="0" borderId="17" xfId="0" applyFont="1" applyBorder="1"/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center" vertical="center" wrapText="1"/>
    </xf>
    <xf numFmtId="0" fontId="3" fillId="22" borderId="2" xfId="0" applyFont="1" applyFill="1" applyBorder="1"/>
    <xf numFmtId="0" fontId="5" fillId="3" borderId="8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3" fillId="0" borderId="9" xfId="0" applyFont="1" applyBorder="1"/>
    <xf numFmtId="0" fontId="5" fillId="4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164" fontId="17" fillId="9" borderId="1" xfId="0" applyNumberFormat="1" applyFont="1" applyFill="1" applyBorder="1" applyAlignment="1">
      <alignment horizontal="center" vertical="center"/>
    </xf>
    <xf numFmtId="164" fontId="17" fillId="9" borderId="3" xfId="0" applyNumberFormat="1" applyFont="1" applyFill="1" applyBorder="1" applyAlignment="1">
      <alignment horizontal="center" vertical="center"/>
    </xf>
    <xf numFmtId="164" fontId="17" fillId="9" borderId="2" xfId="0" applyNumberFormat="1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 wrapText="1"/>
    </xf>
    <xf numFmtId="0" fontId="3" fillId="0" borderId="19" xfId="0" applyFont="1" applyBorder="1"/>
    <xf numFmtId="0" fontId="5" fillId="4" borderId="1" xfId="0" applyFont="1" applyFill="1" applyBorder="1" applyAlignment="1">
      <alignment horizontal="center" vertical="center" wrapText="1"/>
    </xf>
    <xf numFmtId="164" fontId="1" fillId="9" borderId="1" xfId="0" applyNumberFormat="1" applyFont="1" applyFill="1" applyBorder="1" applyAlignment="1">
      <alignment horizontal="center" vertical="center"/>
    </xf>
    <xf numFmtId="164" fontId="1" fillId="9" borderId="3" xfId="0" applyNumberFormat="1" applyFont="1" applyFill="1" applyBorder="1" applyAlignment="1">
      <alignment horizontal="center" vertical="center"/>
    </xf>
    <xf numFmtId="164" fontId="1" fillId="9" borderId="2" xfId="0" applyNumberFormat="1" applyFont="1" applyFill="1" applyBorder="1" applyAlignment="1">
      <alignment horizontal="center" vertical="center"/>
    </xf>
    <xf numFmtId="0" fontId="10" fillId="0" borderId="44" xfId="0" applyFont="1" applyBorder="1" applyAlignment="1">
      <alignment horizontal="center" vertical="center" wrapText="1"/>
    </xf>
    <xf numFmtId="0" fontId="3" fillId="0" borderId="46" xfId="0" applyFont="1" applyBorder="1"/>
    <xf numFmtId="0" fontId="10" fillId="0" borderId="14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3" fillId="0" borderId="16" xfId="0" applyFont="1" applyBorder="1"/>
    <xf numFmtId="0" fontId="13" fillId="9" borderId="1" xfId="0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3" fillId="18" borderId="3" xfId="0" applyFont="1" applyFill="1" applyBorder="1"/>
    <xf numFmtId="0" fontId="3" fillId="18" borderId="2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0000CC"/>
      <color rgb="FFCC00FF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BZ983"/>
  <sheetViews>
    <sheetView tabSelected="1" zoomScale="55" zoomScaleNormal="55" workbookViewId="0">
      <pane ySplit="4" topLeftCell="A349" activePane="bottomLeft" state="frozen"/>
      <selection pane="bottomLeft" activeCell="F298" sqref="F298:F328"/>
    </sheetView>
  </sheetViews>
  <sheetFormatPr defaultColWidth="12.5703125" defaultRowHeight="15.75" customHeight="1"/>
  <cols>
    <col min="2" max="2" width="87" customWidth="1"/>
    <col min="3" max="3" width="5" customWidth="1"/>
    <col min="4" max="4" width="6.5703125" customWidth="1"/>
    <col min="5" max="5" width="34.5703125" customWidth="1"/>
    <col min="6" max="6" width="66.140625" customWidth="1"/>
    <col min="7" max="7" width="15.140625" customWidth="1"/>
    <col min="8" max="8" width="15.85546875" customWidth="1"/>
    <col min="9" max="9" width="12.7109375" customWidth="1"/>
    <col min="10" max="10" width="11" customWidth="1"/>
    <col min="11" max="11" width="12.5703125" customWidth="1"/>
    <col min="12" max="12" width="11.140625" customWidth="1"/>
    <col min="13" max="13" width="13.28515625" customWidth="1"/>
    <col min="14" max="14" width="17.42578125" customWidth="1"/>
    <col min="15" max="15" width="18.42578125" customWidth="1"/>
    <col min="16" max="16" width="11.85546875" customWidth="1"/>
    <col min="17" max="17" width="16.28515625" customWidth="1"/>
    <col min="18" max="18" width="11.7109375" customWidth="1"/>
    <col min="19" max="19" width="12.140625" customWidth="1"/>
    <col min="20" max="21" width="13.42578125" customWidth="1"/>
    <col min="22" max="22" width="16.28515625" customWidth="1"/>
    <col min="23" max="23" width="10.7109375" customWidth="1"/>
    <col min="24" max="24" width="11.140625" customWidth="1"/>
    <col min="25" max="25" width="20.28515625" customWidth="1"/>
    <col min="26" max="26" width="13.42578125" customWidth="1"/>
    <col min="27" max="27" width="20" customWidth="1"/>
    <col min="28" max="30" width="13.42578125" customWidth="1"/>
    <col min="31" max="31" width="2.7109375" customWidth="1"/>
    <col min="32" max="32" width="13.42578125" customWidth="1"/>
    <col min="33" max="33" width="15.5703125" customWidth="1"/>
    <col min="34" max="35" width="11.140625" customWidth="1"/>
    <col min="36" max="36" width="12.7109375" customWidth="1"/>
    <col min="37" max="37" width="16.140625" customWidth="1"/>
    <col min="38" max="38" width="14.42578125" customWidth="1"/>
    <col min="39" max="39" width="15.85546875" customWidth="1"/>
    <col min="40" max="40" width="15.42578125" customWidth="1"/>
    <col min="41" max="41" width="13" customWidth="1"/>
    <col min="42" max="42" width="17.42578125" customWidth="1"/>
    <col min="43" max="43" width="11.42578125" customWidth="1"/>
    <col min="44" max="44" width="15.85546875" customWidth="1"/>
    <col min="45" max="45" width="13.42578125" customWidth="1"/>
    <col min="52" max="52" width="17.85546875" customWidth="1"/>
    <col min="53" max="53" width="15" customWidth="1"/>
    <col min="55" max="55" width="13.85546875" customWidth="1"/>
    <col min="57" max="57" width="14.42578125" customWidth="1"/>
    <col min="58" max="58" width="17.42578125" customWidth="1"/>
    <col min="59" max="59" width="21.42578125" customWidth="1"/>
    <col min="60" max="60" width="10.85546875" customWidth="1"/>
    <col min="61" max="61" width="18.7109375" customWidth="1"/>
    <col min="62" max="62" width="15.140625" customWidth="1"/>
    <col min="63" max="63" width="12.28515625" customWidth="1"/>
    <col min="64" max="64" width="11.5703125" customWidth="1"/>
    <col min="65" max="65" width="15.7109375" customWidth="1"/>
    <col min="66" max="66" width="9.5703125" customWidth="1"/>
    <col min="67" max="67" width="13.42578125" customWidth="1"/>
    <col min="68" max="68" width="13.5703125" customWidth="1"/>
    <col min="71" max="71" width="13.7109375" customWidth="1"/>
    <col min="74" max="74" width="16" customWidth="1"/>
    <col min="75" max="75" width="20.28515625" customWidth="1"/>
    <col min="76" max="76" width="17.7109375" customWidth="1"/>
    <col min="77" max="77" width="18.85546875" customWidth="1"/>
    <col min="78" max="78" width="21.42578125" customWidth="1"/>
  </cols>
  <sheetData>
    <row r="1" spans="1:78" ht="13.5" thickBot="1">
      <c r="C1" s="1"/>
      <c r="D1" s="3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36"/>
      <c r="AJ1" s="36"/>
      <c r="AK1" s="1"/>
      <c r="AL1" s="36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Z1" s="36"/>
    </row>
    <row r="2" spans="1:78" ht="47.25" customHeight="1" thickBot="1">
      <c r="B2" s="291" t="s">
        <v>345</v>
      </c>
      <c r="C2" s="2"/>
      <c r="D2" s="3"/>
      <c r="E2" s="2"/>
      <c r="F2" s="2"/>
      <c r="G2" s="3"/>
      <c r="H2" s="3"/>
      <c r="I2" s="3"/>
      <c r="J2" s="3"/>
      <c r="K2" s="3"/>
      <c r="L2" s="3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93" t="s">
        <v>0</v>
      </c>
      <c r="AG2" s="315"/>
      <c r="AH2" s="316" t="s">
        <v>139</v>
      </c>
      <c r="AI2" s="317"/>
      <c r="AJ2" s="317"/>
      <c r="AK2" s="318"/>
      <c r="AL2" s="318"/>
      <c r="AM2" s="318"/>
      <c r="AN2" s="319" t="s">
        <v>1</v>
      </c>
      <c r="AO2" s="313"/>
      <c r="AP2" s="313"/>
      <c r="AQ2" s="313"/>
      <c r="AR2" s="313"/>
      <c r="AS2" s="314"/>
      <c r="AT2" s="293" t="s">
        <v>2</v>
      </c>
      <c r="AU2" s="320"/>
      <c r="AV2" s="320"/>
      <c r="AW2" s="315"/>
      <c r="AX2" s="293" t="s">
        <v>3</v>
      </c>
      <c r="AY2" s="320"/>
      <c r="AZ2" s="320"/>
      <c r="BA2" s="320"/>
      <c r="BB2" s="315"/>
      <c r="BC2" s="319" t="s">
        <v>1</v>
      </c>
      <c r="BD2" s="313"/>
      <c r="BE2" s="293" t="s">
        <v>4</v>
      </c>
      <c r="BF2" s="315"/>
      <c r="BG2" s="4" t="s">
        <v>5</v>
      </c>
      <c r="BH2" s="293" t="s">
        <v>344</v>
      </c>
      <c r="BI2" s="294"/>
      <c r="BJ2" s="294"/>
      <c r="BK2" s="294"/>
      <c r="BL2" s="312" t="s">
        <v>133</v>
      </c>
      <c r="BM2" s="313"/>
      <c r="BN2" s="313"/>
      <c r="BO2" s="313"/>
      <c r="BP2" s="313"/>
      <c r="BQ2" s="313"/>
      <c r="BR2" s="313"/>
      <c r="BS2" s="313"/>
      <c r="BT2" s="314"/>
      <c r="BU2" s="350" t="s">
        <v>1</v>
      </c>
      <c r="BV2" s="320"/>
      <c r="BW2" s="320"/>
      <c r="BX2" s="320"/>
      <c r="BY2" s="315"/>
      <c r="BZ2" s="216" t="s">
        <v>1</v>
      </c>
    </row>
    <row r="3" spans="1:78" ht="103.5" customHeight="1" thickBot="1">
      <c r="B3" s="292"/>
      <c r="C3" s="5"/>
      <c r="D3" s="5"/>
      <c r="E3" s="6" t="s">
        <v>6</v>
      </c>
      <c r="F3" s="7" t="s">
        <v>7</v>
      </c>
      <c r="G3" s="8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10" t="s">
        <v>14</v>
      </c>
      <c r="N3" s="9" t="s">
        <v>15</v>
      </c>
      <c r="O3" s="9" t="s">
        <v>16</v>
      </c>
      <c r="P3" s="9" t="s">
        <v>17</v>
      </c>
      <c r="Q3" s="328" t="s">
        <v>122</v>
      </c>
      <c r="R3" s="329"/>
      <c r="S3" s="330"/>
      <c r="T3" s="331" t="s">
        <v>18</v>
      </c>
      <c r="U3" s="330"/>
      <c r="V3" s="9" t="s">
        <v>19</v>
      </c>
      <c r="W3" s="9" t="s">
        <v>20</v>
      </c>
      <c r="X3" s="332" t="s">
        <v>21</v>
      </c>
      <c r="Y3" s="330"/>
      <c r="Z3" s="9" t="s">
        <v>279</v>
      </c>
      <c r="AA3" s="9" t="s">
        <v>268</v>
      </c>
      <c r="AB3" s="11" t="s">
        <v>22</v>
      </c>
      <c r="AC3" s="9" t="s">
        <v>23</v>
      </c>
      <c r="AD3" s="12" t="s">
        <v>24</v>
      </c>
      <c r="AE3" s="13"/>
      <c r="AF3" s="322" t="s">
        <v>25</v>
      </c>
      <c r="AG3" s="313"/>
      <c r="AH3" s="336" t="s">
        <v>26</v>
      </c>
      <c r="AI3" s="336"/>
      <c r="AJ3" s="336"/>
      <c r="AK3" s="337"/>
      <c r="AL3" s="337"/>
      <c r="AM3" s="337"/>
      <c r="AN3" s="338" t="s">
        <v>27</v>
      </c>
      <c r="AO3" s="313"/>
      <c r="AP3" s="313"/>
      <c r="AQ3" s="313"/>
      <c r="AR3" s="313"/>
      <c r="AS3" s="314"/>
      <c r="AT3" s="322" t="s">
        <v>28</v>
      </c>
      <c r="AU3" s="314"/>
      <c r="AV3" s="323" t="s">
        <v>29</v>
      </c>
      <c r="AW3" s="314"/>
      <c r="AX3" s="324" t="s">
        <v>30</v>
      </c>
      <c r="AY3" s="313"/>
      <c r="AZ3" s="313"/>
      <c r="BA3" s="313"/>
      <c r="BB3" s="314"/>
      <c r="BC3" s="325" t="s">
        <v>31</v>
      </c>
      <c r="BD3" s="313"/>
      <c r="BE3" s="326" t="s">
        <v>32</v>
      </c>
      <c r="BF3" s="327"/>
      <c r="BG3" s="267" t="s">
        <v>267</v>
      </c>
      <c r="BH3" s="324" t="s">
        <v>33</v>
      </c>
      <c r="BI3" s="313"/>
      <c r="BJ3" s="313"/>
      <c r="BK3" s="314"/>
      <c r="BL3" s="321" t="s">
        <v>337</v>
      </c>
      <c r="BM3" s="313"/>
      <c r="BN3" s="314"/>
      <c r="BO3" s="321" t="s">
        <v>338</v>
      </c>
      <c r="BP3" s="313"/>
      <c r="BQ3" s="314"/>
      <c r="BR3" s="321" t="s">
        <v>339</v>
      </c>
      <c r="BS3" s="313"/>
      <c r="BT3" s="314"/>
      <c r="BU3" s="351" t="s">
        <v>282</v>
      </c>
      <c r="BV3" s="352"/>
      <c r="BW3" s="352"/>
      <c r="BX3" s="352"/>
      <c r="BY3" s="353"/>
      <c r="BZ3" s="14" t="s">
        <v>290</v>
      </c>
    </row>
    <row r="4" spans="1:78" ht="39" thickBot="1">
      <c r="C4" s="15"/>
      <c r="D4" s="15"/>
      <c r="E4" s="16" t="s">
        <v>34</v>
      </c>
      <c r="F4" s="17" t="s">
        <v>35</v>
      </c>
      <c r="G4" s="49" t="s">
        <v>36</v>
      </c>
      <c r="H4" s="50" t="s">
        <v>37</v>
      </c>
      <c r="I4" s="50" t="s">
        <v>38</v>
      </c>
      <c r="J4" s="50" t="s">
        <v>39</v>
      </c>
      <c r="K4" s="50" t="s">
        <v>40</v>
      </c>
      <c r="L4" s="50" t="s">
        <v>41</v>
      </c>
      <c r="M4" s="50" t="s">
        <v>42</v>
      </c>
      <c r="N4" s="50" t="s">
        <v>43</v>
      </c>
      <c r="O4" s="50" t="s">
        <v>44</v>
      </c>
      <c r="P4" s="50" t="s">
        <v>45</v>
      </c>
      <c r="Q4" s="51" t="s">
        <v>46</v>
      </c>
      <c r="R4" s="51" t="s">
        <v>47</v>
      </c>
      <c r="S4" s="51" t="s">
        <v>48</v>
      </c>
      <c r="T4" s="52" t="s">
        <v>49</v>
      </c>
      <c r="U4" s="52" t="s">
        <v>50</v>
      </c>
      <c r="V4" s="182" t="s">
        <v>51</v>
      </c>
      <c r="W4" s="50" t="s">
        <v>52</v>
      </c>
      <c r="X4" s="53" t="s">
        <v>53</v>
      </c>
      <c r="Y4" s="53" t="s">
        <v>54</v>
      </c>
      <c r="Z4" s="50" t="s">
        <v>55</v>
      </c>
      <c r="AA4" s="182" t="s">
        <v>56</v>
      </c>
      <c r="AB4" s="54" t="s">
        <v>57</v>
      </c>
      <c r="AC4" s="50" t="s">
        <v>58</v>
      </c>
      <c r="AD4" s="55" t="s">
        <v>59</v>
      </c>
      <c r="AE4" s="20"/>
      <c r="AF4" s="21" t="s">
        <v>60</v>
      </c>
      <c r="AG4" s="21" t="s">
        <v>61</v>
      </c>
      <c r="AH4" s="135" t="s">
        <v>123</v>
      </c>
      <c r="AI4" s="131" t="s">
        <v>130</v>
      </c>
      <c r="AJ4" s="282" t="s">
        <v>183</v>
      </c>
      <c r="AK4" s="132" t="s">
        <v>124</v>
      </c>
      <c r="AL4" s="133" t="s">
        <v>140</v>
      </c>
      <c r="AM4" s="134" t="s">
        <v>125</v>
      </c>
      <c r="AN4" s="19" t="s">
        <v>62</v>
      </c>
      <c r="AO4" s="19" t="s">
        <v>131</v>
      </c>
      <c r="AP4" s="19" t="s">
        <v>63</v>
      </c>
      <c r="AQ4" s="19" t="s">
        <v>64</v>
      </c>
      <c r="AR4" s="19" t="s">
        <v>65</v>
      </c>
      <c r="AS4" s="19" t="s">
        <v>66</v>
      </c>
      <c r="AT4" s="21" t="s">
        <v>67</v>
      </c>
      <c r="AU4" s="21" t="s">
        <v>68</v>
      </c>
      <c r="AV4" s="22" t="s">
        <v>69</v>
      </c>
      <c r="AW4" s="22" t="s">
        <v>70</v>
      </c>
      <c r="AX4" s="23" t="s">
        <v>71</v>
      </c>
      <c r="AY4" s="23" t="s">
        <v>132</v>
      </c>
      <c r="AZ4" s="23" t="s">
        <v>72</v>
      </c>
      <c r="BA4" s="23" t="s">
        <v>73</v>
      </c>
      <c r="BB4" s="23" t="s">
        <v>74</v>
      </c>
      <c r="BC4" s="24" t="s">
        <v>75</v>
      </c>
      <c r="BD4" s="24" t="s">
        <v>76</v>
      </c>
      <c r="BE4" s="270" t="s">
        <v>77</v>
      </c>
      <c r="BF4" s="270" t="s">
        <v>78</v>
      </c>
      <c r="BG4" s="268" t="s">
        <v>79</v>
      </c>
      <c r="BH4" s="46" t="s">
        <v>126</v>
      </c>
      <c r="BI4" s="23" t="s">
        <v>138</v>
      </c>
      <c r="BJ4" s="23" t="s">
        <v>127</v>
      </c>
      <c r="BK4" s="23" t="s">
        <v>128</v>
      </c>
      <c r="BL4" s="18" t="s">
        <v>80</v>
      </c>
      <c r="BM4" s="18" t="s">
        <v>81</v>
      </c>
      <c r="BN4" s="18" t="s">
        <v>82</v>
      </c>
      <c r="BO4" s="18" t="s">
        <v>83</v>
      </c>
      <c r="BP4" s="18" t="s">
        <v>84</v>
      </c>
      <c r="BQ4" s="18" t="s">
        <v>85</v>
      </c>
      <c r="BR4" s="18" t="s">
        <v>86</v>
      </c>
      <c r="BS4" s="18" t="s">
        <v>87</v>
      </c>
      <c r="BT4" s="18" t="s">
        <v>88</v>
      </c>
      <c r="BU4" s="210" t="s">
        <v>283</v>
      </c>
      <c r="BV4" s="210" t="s">
        <v>284</v>
      </c>
      <c r="BW4" s="210" t="s">
        <v>285</v>
      </c>
      <c r="BX4" s="210" t="s">
        <v>289</v>
      </c>
      <c r="BY4" s="210" t="s">
        <v>288</v>
      </c>
      <c r="BZ4" s="25" t="s">
        <v>291</v>
      </c>
    </row>
    <row r="5" spans="1:78" ht="26.25" thickBot="1">
      <c r="A5" s="113"/>
      <c r="B5" s="114" t="s">
        <v>111</v>
      </c>
      <c r="C5" s="5"/>
      <c r="D5" s="295">
        <v>1</v>
      </c>
      <c r="E5" s="342" t="s">
        <v>347</v>
      </c>
      <c r="F5" s="344" t="s">
        <v>346</v>
      </c>
      <c r="G5" s="67">
        <v>250</v>
      </c>
      <c r="H5" s="68">
        <v>200</v>
      </c>
      <c r="I5" s="68">
        <v>6000</v>
      </c>
      <c r="J5" s="68">
        <v>6000</v>
      </c>
      <c r="K5" s="68">
        <v>50</v>
      </c>
      <c r="L5" s="68">
        <v>25</v>
      </c>
      <c r="M5" s="83" t="s">
        <v>235</v>
      </c>
      <c r="N5" s="69">
        <v>175867</v>
      </c>
      <c r="O5" s="68" t="s">
        <v>89</v>
      </c>
      <c r="P5" s="68">
        <v>5</v>
      </c>
      <c r="Q5" s="70" t="s">
        <v>90</v>
      </c>
      <c r="R5" s="70" t="s">
        <v>91</v>
      </c>
      <c r="S5" s="70" t="s">
        <v>91</v>
      </c>
      <c r="T5" s="71" t="s">
        <v>92</v>
      </c>
      <c r="U5" s="71" t="s">
        <v>93</v>
      </c>
      <c r="V5" s="68" t="s">
        <v>94</v>
      </c>
      <c r="W5" s="68">
        <v>31</v>
      </c>
      <c r="X5" s="72" t="s">
        <v>95</v>
      </c>
      <c r="Y5" s="72" t="s">
        <v>96</v>
      </c>
      <c r="Z5" s="86">
        <v>12000</v>
      </c>
      <c r="AA5" s="83" t="s">
        <v>129</v>
      </c>
      <c r="AB5" s="86">
        <v>3730</v>
      </c>
      <c r="AC5" s="68" t="s">
        <v>97</v>
      </c>
      <c r="AD5" s="73" t="s">
        <v>97</v>
      </c>
      <c r="AE5" s="28"/>
      <c r="AF5" s="37">
        <v>167172</v>
      </c>
      <c r="AG5" s="29" t="s">
        <v>98</v>
      </c>
      <c r="AH5" s="38">
        <v>14069</v>
      </c>
      <c r="AI5" s="48" t="s">
        <v>292</v>
      </c>
      <c r="AJ5" s="39">
        <v>12000</v>
      </c>
      <c r="AK5" s="39" t="s">
        <v>301</v>
      </c>
      <c r="AL5" s="39">
        <v>3750</v>
      </c>
      <c r="AM5" s="30" t="s">
        <v>99</v>
      </c>
      <c r="AN5" s="40">
        <v>55309</v>
      </c>
      <c r="AO5" s="41" t="s">
        <v>303</v>
      </c>
      <c r="AP5" s="41" t="s">
        <v>306</v>
      </c>
      <c r="AQ5" s="27">
        <v>3000</v>
      </c>
      <c r="AR5" s="27" t="s">
        <v>94</v>
      </c>
      <c r="AS5" s="27">
        <v>900</v>
      </c>
      <c r="AT5" s="29">
        <v>41</v>
      </c>
      <c r="AU5" s="29" t="s">
        <v>100</v>
      </c>
      <c r="AV5" s="31">
        <v>42</v>
      </c>
      <c r="AW5" s="31" t="s">
        <v>100</v>
      </c>
      <c r="AX5" s="42">
        <v>16000</v>
      </c>
      <c r="AY5" s="43" t="s">
        <v>100</v>
      </c>
      <c r="AZ5" s="43" t="s">
        <v>270</v>
      </c>
      <c r="BA5" s="32" t="s">
        <v>94</v>
      </c>
      <c r="BB5" s="32">
        <v>500</v>
      </c>
      <c r="BC5" s="44" t="s">
        <v>102</v>
      </c>
      <c r="BD5" s="33" t="s">
        <v>103</v>
      </c>
      <c r="BE5" s="271" t="s">
        <v>104</v>
      </c>
      <c r="BF5" s="271" t="s">
        <v>105</v>
      </c>
      <c r="BG5" s="269">
        <v>0</v>
      </c>
      <c r="BH5" s="42">
        <v>30000</v>
      </c>
      <c r="BI5" s="47" t="s">
        <v>100</v>
      </c>
      <c r="BJ5" s="32" t="s">
        <v>309</v>
      </c>
      <c r="BK5" s="32">
        <v>500</v>
      </c>
      <c r="BL5" s="26" t="s">
        <v>106</v>
      </c>
      <c r="BM5" s="26" t="s">
        <v>107</v>
      </c>
      <c r="BN5" s="209">
        <v>0</v>
      </c>
      <c r="BO5" s="26" t="s">
        <v>108</v>
      </c>
      <c r="BP5" s="34" t="s">
        <v>109</v>
      </c>
      <c r="BQ5" s="209">
        <v>4000</v>
      </c>
      <c r="BR5" s="26" t="s">
        <v>108</v>
      </c>
      <c r="BS5" s="34" t="s">
        <v>110</v>
      </c>
      <c r="BT5" s="209">
        <v>5500</v>
      </c>
      <c r="BU5" s="211">
        <v>11000</v>
      </c>
      <c r="BV5" s="212" t="s">
        <v>100</v>
      </c>
      <c r="BW5" s="212" t="s">
        <v>286</v>
      </c>
      <c r="BX5" s="213" t="s">
        <v>100</v>
      </c>
      <c r="BY5" s="213" t="s">
        <v>100</v>
      </c>
      <c r="BZ5" s="45">
        <v>2000</v>
      </c>
    </row>
    <row r="6" spans="1:78" ht="25.5">
      <c r="A6" s="113"/>
      <c r="B6" s="115" t="s">
        <v>161</v>
      </c>
      <c r="C6" s="5"/>
      <c r="D6" s="296"/>
      <c r="E6" s="299"/>
      <c r="F6" s="345"/>
      <c r="G6" s="74">
        <v>275</v>
      </c>
      <c r="H6" s="62">
        <v>220</v>
      </c>
      <c r="I6" s="62">
        <v>6000</v>
      </c>
      <c r="J6" s="62">
        <v>6000</v>
      </c>
      <c r="K6" s="62">
        <v>50</v>
      </c>
      <c r="L6" s="62">
        <v>28</v>
      </c>
      <c r="M6" s="84" t="s">
        <v>235</v>
      </c>
      <c r="N6" s="63">
        <v>176772</v>
      </c>
      <c r="O6" s="62" t="s">
        <v>89</v>
      </c>
      <c r="P6" s="62">
        <v>5</v>
      </c>
      <c r="Q6" s="64" t="s">
        <v>90</v>
      </c>
      <c r="R6" s="64" t="s">
        <v>91</v>
      </c>
      <c r="S6" s="64" t="s">
        <v>91</v>
      </c>
      <c r="T6" s="65" t="s">
        <v>92</v>
      </c>
      <c r="U6" s="65" t="s">
        <v>93</v>
      </c>
      <c r="V6" s="62" t="s">
        <v>94</v>
      </c>
      <c r="W6" s="62">
        <v>31</v>
      </c>
      <c r="X6" s="66" t="s">
        <v>95</v>
      </c>
      <c r="Y6" s="66" t="s">
        <v>96</v>
      </c>
      <c r="Z6" s="87">
        <v>12000</v>
      </c>
      <c r="AA6" s="84" t="s">
        <v>129</v>
      </c>
      <c r="AB6" s="87">
        <v>3730</v>
      </c>
      <c r="AC6" s="62" t="s">
        <v>97</v>
      </c>
      <c r="AD6" s="75" t="s">
        <v>97</v>
      </c>
      <c r="AE6" s="35"/>
      <c r="AF6" s="37">
        <v>168637</v>
      </c>
      <c r="AG6" s="29" t="s">
        <v>98</v>
      </c>
      <c r="AH6" s="38">
        <v>14142</v>
      </c>
      <c r="AI6" s="48" t="s">
        <v>292</v>
      </c>
      <c r="AJ6" s="39">
        <v>12000</v>
      </c>
      <c r="AK6" s="39" t="s">
        <v>301</v>
      </c>
      <c r="AL6" s="39">
        <v>3750</v>
      </c>
      <c r="AM6" s="30" t="s">
        <v>99</v>
      </c>
      <c r="AN6" s="40">
        <v>55309</v>
      </c>
      <c r="AO6" s="41" t="s">
        <v>303</v>
      </c>
      <c r="AP6" s="41" t="s">
        <v>306</v>
      </c>
      <c r="AQ6" s="27">
        <v>3000</v>
      </c>
      <c r="AR6" s="27" t="s">
        <v>94</v>
      </c>
      <c r="AS6" s="27">
        <v>900</v>
      </c>
      <c r="AT6" s="29">
        <v>41</v>
      </c>
      <c r="AU6" s="29" t="s">
        <v>100</v>
      </c>
      <c r="AV6" s="31">
        <v>42</v>
      </c>
      <c r="AW6" s="31" t="s">
        <v>100</v>
      </c>
      <c r="AX6" s="42">
        <v>16000</v>
      </c>
      <c r="AY6" s="43" t="s">
        <v>100</v>
      </c>
      <c r="AZ6" s="43" t="s">
        <v>270</v>
      </c>
      <c r="BA6" s="32" t="s">
        <v>94</v>
      </c>
      <c r="BB6" s="32">
        <v>500</v>
      </c>
      <c r="BC6" s="44" t="s">
        <v>102</v>
      </c>
      <c r="BD6" s="33" t="s">
        <v>103</v>
      </c>
      <c r="BE6" s="271" t="s">
        <v>104</v>
      </c>
      <c r="BF6" s="271" t="s">
        <v>105</v>
      </c>
      <c r="BG6" s="269">
        <v>0</v>
      </c>
      <c r="BH6" s="42">
        <v>30000</v>
      </c>
      <c r="BI6" s="47" t="s">
        <v>100</v>
      </c>
      <c r="BJ6" s="32" t="s">
        <v>309</v>
      </c>
      <c r="BK6" s="32">
        <v>500</v>
      </c>
      <c r="BL6" s="26" t="s">
        <v>106</v>
      </c>
      <c r="BM6" s="26" t="s">
        <v>107</v>
      </c>
      <c r="BN6" s="209">
        <v>0</v>
      </c>
      <c r="BO6" s="26" t="s">
        <v>108</v>
      </c>
      <c r="BP6" s="34" t="s">
        <v>109</v>
      </c>
      <c r="BQ6" s="209">
        <v>4000</v>
      </c>
      <c r="BR6" s="26" t="s">
        <v>108</v>
      </c>
      <c r="BS6" s="34" t="s">
        <v>110</v>
      </c>
      <c r="BT6" s="209">
        <v>5500</v>
      </c>
      <c r="BU6" s="211">
        <v>11000</v>
      </c>
      <c r="BV6" s="212" t="s">
        <v>100</v>
      </c>
      <c r="BW6" s="212" t="s">
        <v>286</v>
      </c>
      <c r="BX6" s="213" t="s">
        <v>100</v>
      </c>
      <c r="BY6" s="213" t="s">
        <v>100</v>
      </c>
      <c r="BZ6" s="45">
        <v>2000</v>
      </c>
    </row>
    <row r="7" spans="1:78" ht="25.5">
      <c r="A7" s="113"/>
      <c r="B7" s="116" t="s">
        <v>162</v>
      </c>
      <c r="C7" s="5"/>
      <c r="D7" s="296"/>
      <c r="E7" s="299"/>
      <c r="F7" s="345"/>
      <c r="G7" s="74">
        <v>315</v>
      </c>
      <c r="H7" s="62">
        <v>250</v>
      </c>
      <c r="I7" s="62">
        <v>6000</v>
      </c>
      <c r="J7" s="62">
        <v>6000</v>
      </c>
      <c r="K7" s="62">
        <v>50</v>
      </c>
      <c r="L7" s="62">
        <v>32</v>
      </c>
      <c r="M7" s="84" t="s">
        <v>235</v>
      </c>
      <c r="N7" s="63">
        <v>182322</v>
      </c>
      <c r="O7" s="62" t="s">
        <v>89</v>
      </c>
      <c r="P7" s="62">
        <v>5</v>
      </c>
      <c r="Q7" s="64" t="s">
        <v>90</v>
      </c>
      <c r="R7" s="64" t="s">
        <v>91</v>
      </c>
      <c r="S7" s="64" t="s">
        <v>91</v>
      </c>
      <c r="T7" s="65" t="s">
        <v>92</v>
      </c>
      <c r="U7" s="65" t="s">
        <v>93</v>
      </c>
      <c r="V7" s="62" t="s">
        <v>94</v>
      </c>
      <c r="W7" s="62">
        <v>31</v>
      </c>
      <c r="X7" s="66" t="s">
        <v>95</v>
      </c>
      <c r="Y7" s="66" t="s">
        <v>96</v>
      </c>
      <c r="Z7" s="87">
        <v>12000</v>
      </c>
      <c r="AA7" s="84" t="s">
        <v>129</v>
      </c>
      <c r="AB7" s="87">
        <v>3730</v>
      </c>
      <c r="AC7" s="62" t="s">
        <v>97</v>
      </c>
      <c r="AD7" s="75" t="s">
        <v>97</v>
      </c>
      <c r="AE7" s="35"/>
      <c r="AF7" s="37">
        <v>173067</v>
      </c>
      <c r="AG7" s="29" t="s">
        <v>98</v>
      </c>
      <c r="AH7" s="38">
        <v>14586</v>
      </c>
      <c r="AI7" s="48" t="s">
        <v>292</v>
      </c>
      <c r="AJ7" s="39">
        <v>12000</v>
      </c>
      <c r="AK7" s="39" t="s">
        <v>301</v>
      </c>
      <c r="AL7" s="39">
        <v>3750</v>
      </c>
      <c r="AM7" s="30" t="s">
        <v>99</v>
      </c>
      <c r="AN7" s="40">
        <v>55309</v>
      </c>
      <c r="AO7" s="41" t="s">
        <v>303</v>
      </c>
      <c r="AP7" s="41" t="s">
        <v>306</v>
      </c>
      <c r="AQ7" s="27">
        <v>3000</v>
      </c>
      <c r="AR7" s="27" t="s">
        <v>94</v>
      </c>
      <c r="AS7" s="27">
        <v>900</v>
      </c>
      <c r="AT7" s="29">
        <v>41</v>
      </c>
      <c r="AU7" s="29" t="s">
        <v>100</v>
      </c>
      <c r="AV7" s="31">
        <v>42</v>
      </c>
      <c r="AW7" s="31" t="s">
        <v>100</v>
      </c>
      <c r="AX7" s="42">
        <v>16000</v>
      </c>
      <c r="AY7" s="43" t="s">
        <v>100</v>
      </c>
      <c r="AZ7" s="43" t="s">
        <v>270</v>
      </c>
      <c r="BA7" s="32" t="s">
        <v>94</v>
      </c>
      <c r="BB7" s="32">
        <v>500</v>
      </c>
      <c r="BC7" s="44" t="s">
        <v>102</v>
      </c>
      <c r="BD7" s="33" t="s">
        <v>103</v>
      </c>
      <c r="BE7" s="271" t="s">
        <v>104</v>
      </c>
      <c r="BF7" s="271" t="s">
        <v>105</v>
      </c>
      <c r="BG7" s="269">
        <v>0</v>
      </c>
      <c r="BH7" s="42">
        <v>30000</v>
      </c>
      <c r="BI7" s="47" t="s">
        <v>100</v>
      </c>
      <c r="BJ7" s="32" t="s">
        <v>309</v>
      </c>
      <c r="BK7" s="32">
        <v>500</v>
      </c>
      <c r="BL7" s="26" t="s">
        <v>106</v>
      </c>
      <c r="BM7" s="26" t="s">
        <v>107</v>
      </c>
      <c r="BN7" s="209">
        <v>0</v>
      </c>
      <c r="BO7" s="26" t="s">
        <v>108</v>
      </c>
      <c r="BP7" s="34" t="s">
        <v>109</v>
      </c>
      <c r="BQ7" s="209">
        <v>4000</v>
      </c>
      <c r="BR7" s="26" t="s">
        <v>108</v>
      </c>
      <c r="BS7" s="34" t="s">
        <v>110</v>
      </c>
      <c r="BT7" s="209">
        <v>5500</v>
      </c>
      <c r="BU7" s="211">
        <v>11000</v>
      </c>
      <c r="BV7" s="212" t="s">
        <v>100</v>
      </c>
      <c r="BW7" s="212" t="s">
        <v>286</v>
      </c>
      <c r="BX7" s="213" t="s">
        <v>100</v>
      </c>
      <c r="BY7" s="213" t="s">
        <v>100</v>
      </c>
      <c r="BZ7" s="45">
        <v>2000</v>
      </c>
    </row>
    <row r="8" spans="1:78" ht="25.5">
      <c r="A8" s="113"/>
      <c r="B8" s="116" t="s">
        <v>163</v>
      </c>
      <c r="C8" s="5"/>
      <c r="D8" s="296"/>
      <c r="E8" s="299"/>
      <c r="F8" s="345"/>
      <c r="G8" s="74">
        <v>350</v>
      </c>
      <c r="H8" s="62">
        <v>280</v>
      </c>
      <c r="I8" s="62">
        <v>6000</v>
      </c>
      <c r="J8" s="62">
        <v>6000</v>
      </c>
      <c r="K8" s="62">
        <v>50</v>
      </c>
      <c r="L8" s="62">
        <v>35</v>
      </c>
      <c r="M8" s="84" t="s">
        <v>235</v>
      </c>
      <c r="N8" s="63">
        <v>183607</v>
      </c>
      <c r="O8" s="62" t="s">
        <v>89</v>
      </c>
      <c r="P8" s="62">
        <v>5</v>
      </c>
      <c r="Q8" s="64" t="s">
        <v>90</v>
      </c>
      <c r="R8" s="64" t="s">
        <v>91</v>
      </c>
      <c r="S8" s="64" t="s">
        <v>91</v>
      </c>
      <c r="T8" s="65" t="s">
        <v>92</v>
      </c>
      <c r="U8" s="65" t="s">
        <v>93</v>
      </c>
      <c r="V8" s="62" t="s">
        <v>94</v>
      </c>
      <c r="W8" s="62">
        <v>31</v>
      </c>
      <c r="X8" s="66" t="s">
        <v>95</v>
      </c>
      <c r="Y8" s="66" t="s">
        <v>96</v>
      </c>
      <c r="Z8" s="87">
        <v>12000</v>
      </c>
      <c r="AA8" s="84" t="s">
        <v>129</v>
      </c>
      <c r="AB8" s="87">
        <v>3730</v>
      </c>
      <c r="AC8" s="62" t="s">
        <v>97</v>
      </c>
      <c r="AD8" s="75" t="s">
        <v>97</v>
      </c>
      <c r="AE8" s="35"/>
      <c r="AF8" s="37">
        <v>174050</v>
      </c>
      <c r="AG8" s="29" t="s">
        <v>98</v>
      </c>
      <c r="AH8" s="38">
        <v>14689</v>
      </c>
      <c r="AI8" s="48" t="s">
        <v>292</v>
      </c>
      <c r="AJ8" s="39">
        <v>12000</v>
      </c>
      <c r="AK8" s="39" t="s">
        <v>301</v>
      </c>
      <c r="AL8" s="39">
        <v>3750</v>
      </c>
      <c r="AM8" s="30" t="s">
        <v>99</v>
      </c>
      <c r="AN8" s="40">
        <v>55309</v>
      </c>
      <c r="AO8" s="41" t="s">
        <v>303</v>
      </c>
      <c r="AP8" s="41" t="s">
        <v>306</v>
      </c>
      <c r="AQ8" s="27">
        <v>3000</v>
      </c>
      <c r="AR8" s="27" t="s">
        <v>94</v>
      </c>
      <c r="AS8" s="27">
        <v>900</v>
      </c>
      <c r="AT8" s="29">
        <v>41</v>
      </c>
      <c r="AU8" s="29" t="s">
        <v>100</v>
      </c>
      <c r="AV8" s="31">
        <v>42</v>
      </c>
      <c r="AW8" s="31" t="s">
        <v>100</v>
      </c>
      <c r="AX8" s="42">
        <v>16000</v>
      </c>
      <c r="AY8" s="43" t="s">
        <v>100</v>
      </c>
      <c r="AZ8" s="43" t="s">
        <v>270</v>
      </c>
      <c r="BA8" s="32" t="s">
        <v>94</v>
      </c>
      <c r="BB8" s="32">
        <v>500</v>
      </c>
      <c r="BC8" s="44" t="s">
        <v>102</v>
      </c>
      <c r="BD8" s="33" t="s">
        <v>103</v>
      </c>
      <c r="BE8" s="271" t="s">
        <v>104</v>
      </c>
      <c r="BF8" s="271" t="s">
        <v>105</v>
      </c>
      <c r="BG8" s="269">
        <v>0</v>
      </c>
      <c r="BH8" s="42">
        <v>30000</v>
      </c>
      <c r="BI8" s="47" t="s">
        <v>100</v>
      </c>
      <c r="BJ8" s="32" t="s">
        <v>309</v>
      </c>
      <c r="BK8" s="32">
        <v>500</v>
      </c>
      <c r="BL8" s="26" t="s">
        <v>106</v>
      </c>
      <c r="BM8" s="26" t="s">
        <v>107</v>
      </c>
      <c r="BN8" s="209">
        <v>0</v>
      </c>
      <c r="BO8" s="26" t="s">
        <v>108</v>
      </c>
      <c r="BP8" s="34" t="s">
        <v>109</v>
      </c>
      <c r="BQ8" s="209">
        <v>4000</v>
      </c>
      <c r="BR8" s="26" t="s">
        <v>108</v>
      </c>
      <c r="BS8" s="34" t="s">
        <v>110</v>
      </c>
      <c r="BT8" s="209">
        <v>5500</v>
      </c>
      <c r="BU8" s="211">
        <v>11000</v>
      </c>
      <c r="BV8" s="212" t="s">
        <v>100</v>
      </c>
      <c r="BW8" s="212" t="s">
        <v>286</v>
      </c>
      <c r="BX8" s="213" t="s">
        <v>100</v>
      </c>
      <c r="BY8" s="213" t="s">
        <v>100</v>
      </c>
      <c r="BZ8" s="45">
        <v>2000</v>
      </c>
    </row>
    <row r="9" spans="1:78" ht="25.5">
      <c r="A9" s="113"/>
      <c r="B9" s="116" t="s">
        <v>164</v>
      </c>
      <c r="C9" s="5"/>
      <c r="D9" s="296"/>
      <c r="E9" s="299"/>
      <c r="F9" s="345"/>
      <c r="G9" s="74">
        <v>395</v>
      </c>
      <c r="H9" s="62">
        <v>315</v>
      </c>
      <c r="I9" s="62">
        <v>6000</v>
      </c>
      <c r="J9" s="62">
        <v>6000</v>
      </c>
      <c r="K9" s="62">
        <v>50</v>
      </c>
      <c r="L9" s="62">
        <v>39</v>
      </c>
      <c r="M9" s="84" t="s">
        <v>235</v>
      </c>
      <c r="N9" s="63">
        <v>190356</v>
      </c>
      <c r="O9" s="62" t="s">
        <v>89</v>
      </c>
      <c r="P9" s="62">
        <v>5</v>
      </c>
      <c r="Q9" s="64" t="s">
        <v>90</v>
      </c>
      <c r="R9" s="64" t="s">
        <v>91</v>
      </c>
      <c r="S9" s="64" t="s">
        <v>91</v>
      </c>
      <c r="T9" s="65" t="s">
        <v>92</v>
      </c>
      <c r="U9" s="65" t="s">
        <v>93</v>
      </c>
      <c r="V9" s="62" t="s">
        <v>94</v>
      </c>
      <c r="W9" s="62">
        <v>31</v>
      </c>
      <c r="X9" s="66" t="s">
        <v>95</v>
      </c>
      <c r="Y9" s="66" t="s">
        <v>96</v>
      </c>
      <c r="Z9" s="87">
        <v>12000</v>
      </c>
      <c r="AA9" s="84" t="s">
        <v>129</v>
      </c>
      <c r="AB9" s="87">
        <v>3730</v>
      </c>
      <c r="AC9" s="62" t="s">
        <v>97</v>
      </c>
      <c r="AD9" s="75" t="s">
        <v>97</v>
      </c>
      <c r="AE9" s="35"/>
      <c r="AF9" s="37">
        <v>180419</v>
      </c>
      <c r="AG9" s="29" t="s">
        <v>98</v>
      </c>
      <c r="AH9" s="38">
        <v>15228</v>
      </c>
      <c r="AI9" s="48" t="s">
        <v>292</v>
      </c>
      <c r="AJ9" s="39">
        <v>12000</v>
      </c>
      <c r="AK9" s="39" t="s">
        <v>301</v>
      </c>
      <c r="AL9" s="39">
        <v>3750</v>
      </c>
      <c r="AM9" s="30" t="s">
        <v>99</v>
      </c>
      <c r="AN9" s="40">
        <v>55309</v>
      </c>
      <c r="AO9" s="41" t="s">
        <v>303</v>
      </c>
      <c r="AP9" s="41" t="s">
        <v>306</v>
      </c>
      <c r="AQ9" s="27">
        <v>3000</v>
      </c>
      <c r="AR9" s="27" t="s">
        <v>94</v>
      </c>
      <c r="AS9" s="27">
        <v>900</v>
      </c>
      <c r="AT9" s="29">
        <v>41</v>
      </c>
      <c r="AU9" s="29" t="s">
        <v>100</v>
      </c>
      <c r="AV9" s="31">
        <v>42</v>
      </c>
      <c r="AW9" s="31" t="s">
        <v>100</v>
      </c>
      <c r="AX9" s="42">
        <v>16000</v>
      </c>
      <c r="AY9" s="43" t="s">
        <v>100</v>
      </c>
      <c r="AZ9" s="43" t="s">
        <v>270</v>
      </c>
      <c r="BA9" s="32" t="s">
        <v>94</v>
      </c>
      <c r="BB9" s="32">
        <v>500</v>
      </c>
      <c r="BC9" s="44" t="s">
        <v>102</v>
      </c>
      <c r="BD9" s="33" t="s">
        <v>103</v>
      </c>
      <c r="BE9" s="271" t="s">
        <v>104</v>
      </c>
      <c r="BF9" s="271" t="s">
        <v>105</v>
      </c>
      <c r="BG9" s="269">
        <v>0</v>
      </c>
      <c r="BH9" s="42">
        <v>30000</v>
      </c>
      <c r="BI9" s="47" t="s">
        <v>100</v>
      </c>
      <c r="BJ9" s="32" t="s">
        <v>309</v>
      </c>
      <c r="BK9" s="32">
        <v>500</v>
      </c>
      <c r="BL9" s="26" t="s">
        <v>106</v>
      </c>
      <c r="BM9" s="26" t="s">
        <v>107</v>
      </c>
      <c r="BN9" s="209">
        <v>0</v>
      </c>
      <c r="BO9" s="26" t="s">
        <v>108</v>
      </c>
      <c r="BP9" s="34" t="s">
        <v>109</v>
      </c>
      <c r="BQ9" s="209">
        <v>4000</v>
      </c>
      <c r="BR9" s="26" t="s">
        <v>108</v>
      </c>
      <c r="BS9" s="34" t="s">
        <v>110</v>
      </c>
      <c r="BT9" s="209">
        <v>5500</v>
      </c>
      <c r="BU9" s="211">
        <v>11000</v>
      </c>
      <c r="BV9" s="212" t="s">
        <v>100</v>
      </c>
      <c r="BW9" s="212" t="s">
        <v>286</v>
      </c>
      <c r="BX9" s="213" t="s">
        <v>100</v>
      </c>
      <c r="BY9" s="213" t="s">
        <v>100</v>
      </c>
      <c r="BZ9" s="45">
        <v>2000</v>
      </c>
    </row>
    <row r="10" spans="1:78" ht="26.25" thickBot="1">
      <c r="A10" s="113"/>
      <c r="B10" s="117" t="s">
        <v>165</v>
      </c>
      <c r="C10" s="5"/>
      <c r="D10" s="296"/>
      <c r="E10" s="299"/>
      <c r="F10" s="345"/>
      <c r="G10" s="74">
        <v>445</v>
      </c>
      <c r="H10" s="62">
        <v>355</v>
      </c>
      <c r="I10" s="62">
        <v>6000</v>
      </c>
      <c r="J10" s="62">
        <v>6000</v>
      </c>
      <c r="K10" s="62">
        <v>50</v>
      </c>
      <c r="L10" s="62">
        <v>45</v>
      </c>
      <c r="M10" s="84" t="s">
        <v>235</v>
      </c>
      <c r="N10" s="63">
        <v>192912</v>
      </c>
      <c r="O10" s="62" t="s">
        <v>89</v>
      </c>
      <c r="P10" s="62">
        <v>5</v>
      </c>
      <c r="Q10" s="64" t="s">
        <v>90</v>
      </c>
      <c r="R10" s="64" t="s">
        <v>91</v>
      </c>
      <c r="S10" s="64" t="s">
        <v>91</v>
      </c>
      <c r="T10" s="65" t="s">
        <v>92</v>
      </c>
      <c r="U10" s="65" t="s">
        <v>93</v>
      </c>
      <c r="V10" s="62" t="s">
        <v>94</v>
      </c>
      <c r="W10" s="62">
        <v>31</v>
      </c>
      <c r="X10" s="66" t="s">
        <v>95</v>
      </c>
      <c r="Y10" s="66" t="s">
        <v>96</v>
      </c>
      <c r="Z10" s="87">
        <v>12000</v>
      </c>
      <c r="AA10" s="84" t="s">
        <v>129</v>
      </c>
      <c r="AB10" s="87">
        <v>3730</v>
      </c>
      <c r="AC10" s="62" t="s">
        <v>97</v>
      </c>
      <c r="AD10" s="75" t="s">
        <v>97</v>
      </c>
      <c r="AE10" s="35"/>
      <c r="AF10" s="37">
        <v>181654</v>
      </c>
      <c r="AG10" s="29" t="s">
        <v>98</v>
      </c>
      <c r="AH10" s="38">
        <v>15433</v>
      </c>
      <c r="AI10" s="48" t="s">
        <v>292</v>
      </c>
      <c r="AJ10" s="39">
        <v>12000</v>
      </c>
      <c r="AK10" s="39" t="s">
        <v>301</v>
      </c>
      <c r="AL10" s="39">
        <v>3750</v>
      </c>
      <c r="AM10" s="30" t="s">
        <v>99</v>
      </c>
      <c r="AN10" s="40">
        <v>62443</v>
      </c>
      <c r="AO10" s="41" t="s">
        <v>303</v>
      </c>
      <c r="AP10" s="41" t="s">
        <v>306</v>
      </c>
      <c r="AQ10" s="27">
        <v>3000</v>
      </c>
      <c r="AR10" s="27" t="s">
        <v>94</v>
      </c>
      <c r="AS10" s="27">
        <v>900</v>
      </c>
      <c r="AT10" s="29">
        <v>41</v>
      </c>
      <c r="AU10" s="29" t="s">
        <v>100</v>
      </c>
      <c r="AV10" s="31">
        <v>42</v>
      </c>
      <c r="AW10" s="31" t="s">
        <v>100</v>
      </c>
      <c r="AX10" s="42">
        <v>16000</v>
      </c>
      <c r="AY10" s="43" t="s">
        <v>100</v>
      </c>
      <c r="AZ10" s="43" t="s">
        <v>270</v>
      </c>
      <c r="BA10" s="32" t="s">
        <v>94</v>
      </c>
      <c r="BB10" s="32">
        <v>500</v>
      </c>
      <c r="BC10" s="44" t="s">
        <v>102</v>
      </c>
      <c r="BD10" s="33" t="s">
        <v>103</v>
      </c>
      <c r="BE10" s="271" t="s">
        <v>104</v>
      </c>
      <c r="BF10" s="271" t="s">
        <v>105</v>
      </c>
      <c r="BG10" s="269">
        <v>0</v>
      </c>
      <c r="BH10" s="42">
        <v>30000</v>
      </c>
      <c r="BI10" s="47" t="s">
        <v>100</v>
      </c>
      <c r="BJ10" s="32" t="s">
        <v>309</v>
      </c>
      <c r="BK10" s="32">
        <v>500</v>
      </c>
      <c r="BL10" s="26" t="s">
        <v>106</v>
      </c>
      <c r="BM10" s="26" t="s">
        <v>107</v>
      </c>
      <c r="BN10" s="209">
        <v>0</v>
      </c>
      <c r="BO10" s="26" t="s">
        <v>108</v>
      </c>
      <c r="BP10" s="34" t="s">
        <v>109</v>
      </c>
      <c r="BQ10" s="209">
        <v>4000</v>
      </c>
      <c r="BR10" s="26" t="s">
        <v>108</v>
      </c>
      <c r="BS10" s="34" t="s">
        <v>110</v>
      </c>
      <c r="BT10" s="209">
        <v>5500</v>
      </c>
      <c r="BU10" s="211">
        <v>11000</v>
      </c>
      <c r="BV10" s="212" t="s">
        <v>100</v>
      </c>
      <c r="BW10" s="212" t="s">
        <v>286</v>
      </c>
      <c r="BX10" s="213" t="s">
        <v>100</v>
      </c>
      <c r="BY10" s="213" t="s">
        <v>100</v>
      </c>
      <c r="BZ10" s="45">
        <v>2000</v>
      </c>
    </row>
    <row r="11" spans="1:78" ht="26.25" thickBot="1">
      <c r="A11" s="113"/>
      <c r="B11" s="259"/>
      <c r="C11" s="5"/>
      <c r="D11" s="296"/>
      <c r="E11" s="299"/>
      <c r="F11" s="345"/>
      <c r="G11" s="74">
        <v>500</v>
      </c>
      <c r="H11" s="62">
        <v>400</v>
      </c>
      <c r="I11" s="62">
        <v>6000</v>
      </c>
      <c r="J11" s="62">
        <v>6000</v>
      </c>
      <c r="K11" s="62">
        <v>50</v>
      </c>
      <c r="L11" s="62">
        <v>50</v>
      </c>
      <c r="M11" s="84" t="s">
        <v>235</v>
      </c>
      <c r="N11" s="63">
        <v>194363</v>
      </c>
      <c r="O11" s="62" t="s">
        <v>89</v>
      </c>
      <c r="P11" s="62">
        <v>5</v>
      </c>
      <c r="Q11" s="64" t="s">
        <v>90</v>
      </c>
      <c r="R11" s="64" t="s">
        <v>91</v>
      </c>
      <c r="S11" s="64" t="s">
        <v>91</v>
      </c>
      <c r="T11" s="65" t="s">
        <v>92</v>
      </c>
      <c r="U11" s="65" t="s">
        <v>93</v>
      </c>
      <c r="V11" s="62" t="s">
        <v>94</v>
      </c>
      <c r="W11" s="62">
        <v>31</v>
      </c>
      <c r="X11" s="66" t="s">
        <v>95</v>
      </c>
      <c r="Y11" s="66" t="s">
        <v>96</v>
      </c>
      <c r="Z11" s="87">
        <v>12000</v>
      </c>
      <c r="AA11" s="84" t="s">
        <v>129</v>
      </c>
      <c r="AB11" s="87">
        <v>3730</v>
      </c>
      <c r="AC11" s="62" t="s">
        <v>97</v>
      </c>
      <c r="AD11" s="75" t="s">
        <v>97</v>
      </c>
      <c r="AE11" s="35"/>
      <c r="AF11" s="37">
        <v>182271</v>
      </c>
      <c r="AG11" s="29" t="s">
        <v>98</v>
      </c>
      <c r="AH11" s="38">
        <v>15549</v>
      </c>
      <c r="AI11" s="48" t="s">
        <v>292</v>
      </c>
      <c r="AJ11" s="39">
        <v>12000</v>
      </c>
      <c r="AK11" s="39" t="s">
        <v>301</v>
      </c>
      <c r="AL11" s="39">
        <v>3750</v>
      </c>
      <c r="AM11" s="30" t="s">
        <v>99</v>
      </c>
      <c r="AN11" s="40">
        <v>62443</v>
      </c>
      <c r="AO11" s="41" t="s">
        <v>303</v>
      </c>
      <c r="AP11" s="41" t="s">
        <v>306</v>
      </c>
      <c r="AQ11" s="27">
        <v>3000</v>
      </c>
      <c r="AR11" s="27" t="s">
        <v>94</v>
      </c>
      <c r="AS11" s="27">
        <v>900</v>
      </c>
      <c r="AT11" s="29">
        <v>41</v>
      </c>
      <c r="AU11" s="29" t="s">
        <v>100</v>
      </c>
      <c r="AV11" s="31">
        <v>42</v>
      </c>
      <c r="AW11" s="31" t="s">
        <v>100</v>
      </c>
      <c r="AX11" s="42">
        <v>16000</v>
      </c>
      <c r="AY11" s="43" t="s">
        <v>100</v>
      </c>
      <c r="AZ11" s="43" t="s">
        <v>270</v>
      </c>
      <c r="BA11" s="32" t="s">
        <v>94</v>
      </c>
      <c r="BB11" s="32">
        <v>500</v>
      </c>
      <c r="BC11" s="44" t="s">
        <v>102</v>
      </c>
      <c r="BD11" s="33" t="s">
        <v>103</v>
      </c>
      <c r="BE11" s="271" t="s">
        <v>104</v>
      </c>
      <c r="BF11" s="271" t="s">
        <v>105</v>
      </c>
      <c r="BG11" s="269">
        <v>0</v>
      </c>
      <c r="BH11" s="42">
        <v>30000</v>
      </c>
      <c r="BI11" s="47" t="s">
        <v>100</v>
      </c>
      <c r="BJ11" s="32" t="s">
        <v>309</v>
      </c>
      <c r="BK11" s="32">
        <v>500</v>
      </c>
      <c r="BL11" s="26" t="s">
        <v>106</v>
      </c>
      <c r="BM11" s="26" t="s">
        <v>107</v>
      </c>
      <c r="BN11" s="209">
        <v>0</v>
      </c>
      <c r="BO11" s="26" t="s">
        <v>108</v>
      </c>
      <c r="BP11" s="34" t="s">
        <v>109</v>
      </c>
      <c r="BQ11" s="209">
        <v>4000</v>
      </c>
      <c r="BR11" s="26" t="s">
        <v>108</v>
      </c>
      <c r="BS11" s="34" t="s">
        <v>110</v>
      </c>
      <c r="BT11" s="209">
        <v>5500</v>
      </c>
      <c r="BU11" s="211">
        <v>11000</v>
      </c>
      <c r="BV11" s="212" t="s">
        <v>100</v>
      </c>
      <c r="BW11" s="212" t="s">
        <v>286</v>
      </c>
      <c r="BX11" s="213" t="s">
        <v>100</v>
      </c>
      <c r="BY11" s="213" t="s">
        <v>100</v>
      </c>
      <c r="BZ11" s="45">
        <v>2000</v>
      </c>
    </row>
    <row r="12" spans="1:78" ht="26.25" thickBot="1">
      <c r="A12" s="113"/>
      <c r="B12" s="119" t="s">
        <v>166</v>
      </c>
      <c r="C12" s="5"/>
      <c r="D12" s="296"/>
      <c r="E12" s="299"/>
      <c r="F12" s="345"/>
      <c r="G12" s="74">
        <v>565</v>
      </c>
      <c r="H12" s="62">
        <v>450</v>
      </c>
      <c r="I12" s="62">
        <v>6000</v>
      </c>
      <c r="J12" s="62">
        <v>6000</v>
      </c>
      <c r="K12" s="62">
        <v>50</v>
      </c>
      <c r="L12" s="62">
        <v>56</v>
      </c>
      <c r="M12" s="84" t="s">
        <v>235</v>
      </c>
      <c r="N12" s="63">
        <v>196610</v>
      </c>
      <c r="O12" s="62" t="s">
        <v>89</v>
      </c>
      <c r="P12" s="62">
        <v>5</v>
      </c>
      <c r="Q12" s="64" t="s">
        <v>90</v>
      </c>
      <c r="R12" s="64" t="s">
        <v>91</v>
      </c>
      <c r="S12" s="64" t="s">
        <v>91</v>
      </c>
      <c r="T12" s="65" t="s">
        <v>92</v>
      </c>
      <c r="U12" s="65" t="s">
        <v>93</v>
      </c>
      <c r="V12" s="62" t="s">
        <v>94</v>
      </c>
      <c r="W12" s="62">
        <v>31</v>
      </c>
      <c r="X12" s="66" t="s">
        <v>95</v>
      </c>
      <c r="Y12" s="66" t="s">
        <v>96</v>
      </c>
      <c r="Z12" s="87">
        <v>12000</v>
      </c>
      <c r="AA12" s="84" t="s">
        <v>129</v>
      </c>
      <c r="AB12" s="87">
        <v>3730</v>
      </c>
      <c r="AC12" s="62" t="s">
        <v>97</v>
      </c>
      <c r="AD12" s="75" t="s">
        <v>97</v>
      </c>
      <c r="AE12" s="35"/>
      <c r="AF12" s="37">
        <v>183320</v>
      </c>
      <c r="AG12" s="29" t="s">
        <v>98</v>
      </c>
      <c r="AH12" s="38">
        <v>15729</v>
      </c>
      <c r="AI12" s="48" t="s">
        <v>292</v>
      </c>
      <c r="AJ12" s="39">
        <v>12000</v>
      </c>
      <c r="AK12" s="39" t="s">
        <v>301</v>
      </c>
      <c r="AL12" s="39">
        <v>3750</v>
      </c>
      <c r="AM12" s="30" t="s">
        <v>99</v>
      </c>
      <c r="AN12" s="40">
        <v>62443</v>
      </c>
      <c r="AO12" s="41" t="s">
        <v>303</v>
      </c>
      <c r="AP12" s="41" t="s">
        <v>306</v>
      </c>
      <c r="AQ12" s="27">
        <v>3000</v>
      </c>
      <c r="AR12" s="27" t="s">
        <v>94</v>
      </c>
      <c r="AS12" s="27">
        <v>900</v>
      </c>
      <c r="AT12" s="29">
        <v>41</v>
      </c>
      <c r="AU12" s="29" t="s">
        <v>100</v>
      </c>
      <c r="AV12" s="31">
        <v>42</v>
      </c>
      <c r="AW12" s="31" t="s">
        <v>100</v>
      </c>
      <c r="AX12" s="42">
        <v>16000</v>
      </c>
      <c r="AY12" s="43" t="s">
        <v>100</v>
      </c>
      <c r="AZ12" s="43" t="s">
        <v>270</v>
      </c>
      <c r="BA12" s="32" t="s">
        <v>94</v>
      </c>
      <c r="BB12" s="32">
        <v>500</v>
      </c>
      <c r="BC12" s="44" t="s">
        <v>102</v>
      </c>
      <c r="BD12" s="33" t="s">
        <v>103</v>
      </c>
      <c r="BE12" s="271" t="s">
        <v>104</v>
      </c>
      <c r="BF12" s="271" t="s">
        <v>105</v>
      </c>
      <c r="BG12" s="269">
        <v>0</v>
      </c>
      <c r="BH12" s="42">
        <v>30000</v>
      </c>
      <c r="BI12" s="47" t="s">
        <v>100</v>
      </c>
      <c r="BJ12" s="32" t="s">
        <v>309</v>
      </c>
      <c r="BK12" s="32">
        <v>500</v>
      </c>
      <c r="BL12" s="26" t="s">
        <v>106</v>
      </c>
      <c r="BM12" s="26" t="s">
        <v>107</v>
      </c>
      <c r="BN12" s="209">
        <v>0</v>
      </c>
      <c r="BO12" s="26" t="s">
        <v>108</v>
      </c>
      <c r="BP12" s="34" t="s">
        <v>109</v>
      </c>
      <c r="BQ12" s="209">
        <v>4000</v>
      </c>
      <c r="BR12" s="26" t="s">
        <v>108</v>
      </c>
      <c r="BS12" s="34" t="s">
        <v>110</v>
      </c>
      <c r="BT12" s="209">
        <v>5500</v>
      </c>
      <c r="BU12" s="211">
        <v>11000</v>
      </c>
      <c r="BV12" s="212" t="s">
        <v>100</v>
      </c>
      <c r="BW12" s="212" t="s">
        <v>286</v>
      </c>
      <c r="BX12" s="213" t="s">
        <v>100</v>
      </c>
      <c r="BY12" s="213" t="s">
        <v>100</v>
      </c>
      <c r="BZ12" s="45">
        <v>2000</v>
      </c>
    </row>
    <row r="13" spans="1:78" ht="39" customHeight="1" thickBot="1">
      <c r="A13" s="260" t="s">
        <v>112</v>
      </c>
      <c r="B13" s="260" t="s">
        <v>172</v>
      </c>
      <c r="C13" s="5"/>
      <c r="D13" s="296"/>
      <c r="E13" s="299"/>
      <c r="F13" s="345"/>
      <c r="G13" s="74">
        <v>625</v>
      </c>
      <c r="H13" s="62">
        <v>500</v>
      </c>
      <c r="I13" s="62">
        <v>6000</v>
      </c>
      <c r="J13" s="62">
        <v>6000</v>
      </c>
      <c r="K13" s="62">
        <v>50</v>
      </c>
      <c r="L13" s="62">
        <v>63</v>
      </c>
      <c r="M13" s="84" t="s">
        <v>235</v>
      </c>
      <c r="N13" s="63">
        <v>198642</v>
      </c>
      <c r="O13" s="62" t="s">
        <v>89</v>
      </c>
      <c r="P13" s="62">
        <v>5</v>
      </c>
      <c r="Q13" s="64" t="s">
        <v>90</v>
      </c>
      <c r="R13" s="64" t="s">
        <v>91</v>
      </c>
      <c r="S13" s="64" t="s">
        <v>91</v>
      </c>
      <c r="T13" s="65" t="s">
        <v>92</v>
      </c>
      <c r="U13" s="65" t="s">
        <v>93</v>
      </c>
      <c r="V13" s="62" t="s">
        <v>94</v>
      </c>
      <c r="W13" s="62">
        <v>31</v>
      </c>
      <c r="X13" s="66" t="s">
        <v>95</v>
      </c>
      <c r="Y13" s="66" t="s">
        <v>96</v>
      </c>
      <c r="Z13" s="87">
        <v>12000</v>
      </c>
      <c r="AA13" s="84" t="s">
        <v>129</v>
      </c>
      <c r="AB13" s="87">
        <v>3730</v>
      </c>
      <c r="AC13" s="62" t="s">
        <v>97</v>
      </c>
      <c r="AD13" s="75" t="s">
        <v>97</v>
      </c>
      <c r="AE13" s="35"/>
      <c r="AF13" s="37">
        <v>185323</v>
      </c>
      <c r="AG13" s="29" t="s">
        <v>98</v>
      </c>
      <c r="AH13" s="38">
        <v>15891</v>
      </c>
      <c r="AI13" s="48" t="s">
        <v>292</v>
      </c>
      <c r="AJ13" s="39">
        <v>12000</v>
      </c>
      <c r="AK13" s="39" t="s">
        <v>301</v>
      </c>
      <c r="AL13" s="39">
        <v>3750</v>
      </c>
      <c r="AM13" s="30" t="s">
        <v>99</v>
      </c>
      <c r="AN13" s="40">
        <v>62443</v>
      </c>
      <c r="AO13" s="41" t="s">
        <v>303</v>
      </c>
      <c r="AP13" s="41" t="s">
        <v>306</v>
      </c>
      <c r="AQ13" s="27">
        <v>3000</v>
      </c>
      <c r="AR13" s="27" t="s">
        <v>94</v>
      </c>
      <c r="AS13" s="27">
        <v>900</v>
      </c>
      <c r="AT13" s="29">
        <v>41</v>
      </c>
      <c r="AU13" s="29" t="s">
        <v>100</v>
      </c>
      <c r="AV13" s="31">
        <v>42</v>
      </c>
      <c r="AW13" s="31" t="s">
        <v>100</v>
      </c>
      <c r="AX13" s="42">
        <v>16000</v>
      </c>
      <c r="AY13" s="43" t="s">
        <v>100</v>
      </c>
      <c r="AZ13" s="43" t="s">
        <v>270</v>
      </c>
      <c r="BA13" s="32" t="s">
        <v>94</v>
      </c>
      <c r="BB13" s="32">
        <v>500</v>
      </c>
      <c r="BC13" s="44" t="s">
        <v>102</v>
      </c>
      <c r="BD13" s="33" t="s">
        <v>103</v>
      </c>
      <c r="BE13" s="271" t="s">
        <v>104</v>
      </c>
      <c r="BF13" s="271" t="s">
        <v>105</v>
      </c>
      <c r="BG13" s="269">
        <v>0</v>
      </c>
      <c r="BH13" s="42">
        <v>30000</v>
      </c>
      <c r="BI13" s="47" t="s">
        <v>100</v>
      </c>
      <c r="BJ13" s="32" t="s">
        <v>309</v>
      </c>
      <c r="BK13" s="32">
        <v>500</v>
      </c>
      <c r="BL13" s="26" t="s">
        <v>106</v>
      </c>
      <c r="BM13" s="26" t="s">
        <v>107</v>
      </c>
      <c r="BN13" s="209">
        <v>0</v>
      </c>
      <c r="BO13" s="26" t="s">
        <v>108</v>
      </c>
      <c r="BP13" s="34" t="s">
        <v>109</v>
      </c>
      <c r="BQ13" s="209">
        <v>4000</v>
      </c>
      <c r="BR13" s="26" t="s">
        <v>108</v>
      </c>
      <c r="BS13" s="34" t="s">
        <v>110</v>
      </c>
      <c r="BT13" s="209">
        <v>5500</v>
      </c>
      <c r="BU13" s="211">
        <v>11000</v>
      </c>
      <c r="BV13" s="212" t="s">
        <v>100</v>
      </c>
      <c r="BW13" s="212" t="s">
        <v>286</v>
      </c>
      <c r="BX13" s="213" t="s">
        <v>100</v>
      </c>
      <c r="BY13" s="213" t="s">
        <v>100</v>
      </c>
      <c r="BZ13" s="45">
        <v>2000</v>
      </c>
    </row>
    <row r="14" spans="1:78" ht="51.75" thickBot="1">
      <c r="A14" s="261" t="s">
        <v>113</v>
      </c>
      <c r="B14" s="261" t="s">
        <v>184</v>
      </c>
      <c r="C14" s="5"/>
      <c r="D14" s="296"/>
      <c r="E14" s="299"/>
      <c r="F14" s="345"/>
      <c r="G14" s="74">
        <v>700</v>
      </c>
      <c r="H14" s="62">
        <v>560</v>
      </c>
      <c r="I14" s="62">
        <v>6000</v>
      </c>
      <c r="J14" s="62">
        <v>6000</v>
      </c>
      <c r="K14" s="62">
        <v>50</v>
      </c>
      <c r="L14" s="62">
        <v>70</v>
      </c>
      <c r="M14" s="84" t="s">
        <v>235</v>
      </c>
      <c r="N14" s="63">
        <v>209993</v>
      </c>
      <c r="O14" s="62" t="s">
        <v>89</v>
      </c>
      <c r="P14" s="62">
        <v>5</v>
      </c>
      <c r="Q14" s="64" t="s">
        <v>90</v>
      </c>
      <c r="R14" s="64" t="s">
        <v>91</v>
      </c>
      <c r="S14" s="64" t="s">
        <v>91</v>
      </c>
      <c r="T14" s="65" t="s">
        <v>92</v>
      </c>
      <c r="U14" s="65" t="s">
        <v>93</v>
      </c>
      <c r="V14" s="62" t="s">
        <v>94</v>
      </c>
      <c r="W14" s="62">
        <v>31</v>
      </c>
      <c r="X14" s="66" t="s">
        <v>95</v>
      </c>
      <c r="Y14" s="66" t="s">
        <v>96</v>
      </c>
      <c r="Z14" s="87">
        <v>12000</v>
      </c>
      <c r="AA14" s="84" t="s">
        <v>129</v>
      </c>
      <c r="AB14" s="87">
        <v>3730</v>
      </c>
      <c r="AC14" s="62" t="s">
        <v>97</v>
      </c>
      <c r="AD14" s="75" t="s">
        <v>97</v>
      </c>
      <c r="AE14" s="35"/>
      <c r="AF14" s="37">
        <v>196631</v>
      </c>
      <c r="AG14" s="29" t="s">
        <v>98</v>
      </c>
      <c r="AH14" s="38">
        <v>16799</v>
      </c>
      <c r="AI14" s="48" t="s">
        <v>292</v>
      </c>
      <c r="AJ14" s="39">
        <v>12000</v>
      </c>
      <c r="AK14" s="39" t="s">
        <v>301</v>
      </c>
      <c r="AL14" s="39">
        <v>3750</v>
      </c>
      <c r="AM14" s="30" t="s">
        <v>99</v>
      </c>
      <c r="AN14" s="40">
        <v>62443</v>
      </c>
      <c r="AO14" s="41" t="s">
        <v>303</v>
      </c>
      <c r="AP14" s="41" t="s">
        <v>306</v>
      </c>
      <c r="AQ14" s="27">
        <v>3000</v>
      </c>
      <c r="AR14" s="27" t="s">
        <v>94</v>
      </c>
      <c r="AS14" s="27">
        <v>900</v>
      </c>
      <c r="AT14" s="29">
        <v>41</v>
      </c>
      <c r="AU14" s="29" t="s">
        <v>100</v>
      </c>
      <c r="AV14" s="31">
        <v>42</v>
      </c>
      <c r="AW14" s="31" t="s">
        <v>100</v>
      </c>
      <c r="AX14" s="42">
        <v>16000</v>
      </c>
      <c r="AY14" s="43" t="s">
        <v>100</v>
      </c>
      <c r="AZ14" s="43" t="s">
        <v>270</v>
      </c>
      <c r="BA14" s="32" t="s">
        <v>94</v>
      </c>
      <c r="BB14" s="32">
        <v>500</v>
      </c>
      <c r="BC14" s="44" t="s">
        <v>102</v>
      </c>
      <c r="BD14" s="33" t="s">
        <v>103</v>
      </c>
      <c r="BE14" s="271" t="s">
        <v>104</v>
      </c>
      <c r="BF14" s="271" t="s">
        <v>105</v>
      </c>
      <c r="BG14" s="269">
        <v>0</v>
      </c>
      <c r="BH14" s="42">
        <v>30000</v>
      </c>
      <c r="BI14" s="47" t="s">
        <v>100</v>
      </c>
      <c r="BJ14" s="32" t="s">
        <v>309</v>
      </c>
      <c r="BK14" s="32">
        <v>500</v>
      </c>
      <c r="BL14" s="26" t="s">
        <v>106</v>
      </c>
      <c r="BM14" s="26" t="s">
        <v>107</v>
      </c>
      <c r="BN14" s="209">
        <v>0</v>
      </c>
      <c r="BO14" s="26" t="s">
        <v>108</v>
      </c>
      <c r="BP14" s="34" t="s">
        <v>109</v>
      </c>
      <c r="BQ14" s="209">
        <v>4000</v>
      </c>
      <c r="BR14" s="26" t="s">
        <v>108</v>
      </c>
      <c r="BS14" s="34" t="s">
        <v>110</v>
      </c>
      <c r="BT14" s="209">
        <v>5500</v>
      </c>
      <c r="BU14" s="211">
        <v>11000</v>
      </c>
      <c r="BV14" s="212" t="s">
        <v>100</v>
      </c>
      <c r="BW14" s="212" t="s">
        <v>286</v>
      </c>
      <c r="BX14" s="213" t="s">
        <v>100</v>
      </c>
      <c r="BY14" s="213" t="s">
        <v>100</v>
      </c>
      <c r="BZ14" s="45">
        <v>2000</v>
      </c>
    </row>
    <row r="15" spans="1:78" ht="26.25" thickBot="1">
      <c r="A15" s="262" t="s">
        <v>114</v>
      </c>
      <c r="B15" s="262" t="s">
        <v>167</v>
      </c>
      <c r="C15" s="5"/>
      <c r="D15" s="296"/>
      <c r="E15" s="299"/>
      <c r="F15" s="345"/>
      <c r="G15" s="92">
        <v>790</v>
      </c>
      <c r="H15" s="93">
        <v>630</v>
      </c>
      <c r="I15" s="93">
        <v>6000</v>
      </c>
      <c r="J15" s="93">
        <v>6000</v>
      </c>
      <c r="K15" s="93">
        <v>50</v>
      </c>
      <c r="L15" s="93">
        <v>79</v>
      </c>
      <c r="M15" s="94" t="s">
        <v>235</v>
      </c>
      <c r="N15" s="95">
        <v>216506</v>
      </c>
      <c r="O15" s="93" t="s">
        <v>89</v>
      </c>
      <c r="P15" s="93">
        <v>5</v>
      </c>
      <c r="Q15" s="96" t="s">
        <v>90</v>
      </c>
      <c r="R15" s="96" t="s">
        <v>91</v>
      </c>
      <c r="S15" s="96" t="s">
        <v>91</v>
      </c>
      <c r="T15" s="97" t="s">
        <v>92</v>
      </c>
      <c r="U15" s="97" t="s">
        <v>93</v>
      </c>
      <c r="V15" s="93" t="s">
        <v>94</v>
      </c>
      <c r="W15" s="93">
        <v>31</v>
      </c>
      <c r="X15" s="98" t="s">
        <v>95</v>
      </c>
      <c r="Y15" s="98" t="s">
        <v>96</v>
      </c>
      <c r="Z15" s="99">
        <v>12000</v>
      </c>
      <c r="AA15" s="94" t="s">
        <v>129</v>
      </c>
      <c r="AB15" s="99">
        <v>3730</v>
      </c>
      <c r="AC15" s="93" t="s">
        <v>97</v>
      </c>
      <c r="AD15" s="100" t="s">
        <v>97</v>
      </c>
      <c r="AE15" s="35"/>
      <c r="AF15" s="37">
        <v>203093</v>
      </c>
      <c r="AG15" s="29" t="s">
        <v>98</v>
      </c>
      <c r="AH15" s="218">
        <v>17320</v>
      </c>
      <c r="AI15" s="219" t="s">
        <v>292</v>
      </c>
      <c r="AJ15" s="220">
        <v>12000</v>
      </c>
      <c r="AK15" s="220" t="s">
        <v>301</v>
      </c>
      <c r="AL15" s="220">
        <v>3750</v>
      </c>
      <c r="AM15" s="221" t="s">
        <v>99</v>
      </c>
      <c r="AN15" s="40">
        <v>62443</v>
      </c>
      <c r="AO15" s="41" t="s">
        <v>303</v>
      </c>
      <c r="AP15" s="41" t="s">
        <v>306</v>
      </c>
      <c r="AQ15" s="27">
        <v>3000</v>
      </c>
      <c r="AR15" s="27" t="s">
        <v>94</v>
      </c>
      <c r="AS15" s="27">
        <v>900</v>
      </c>
      <c r="AT15" s="29">
        <v>41</v>
      </c>
      <c r="AU15" s="29" t="s">
        <v>100</v>
      </c>
      <c r="AV15" s="31">
        <v>42</v>
      </c>
      <c r="AW15" s="31" t="s">
        <v>100</v>
      </c>
      <c r="AX15" s="42">
        <v>16000</v>
      </c>
      <c r="AY15" s="43" t="s">
        <v>100</v>
      </c>
      <c r="AZ15" s="43" t="s">
        <v>270</v>
      </c>
      <c r="BA15" s="32" t="s">
        <v>94</v>
      </c>
      <c r="BB15" s="32">
        <v>500</v>
      </c>
      <c r="BC15" s="44" t="s">
        <v>102</v>
      </c>
      <c r="BD15" s="33" t="s">
        <v>103</v>
      </c>
      <c r="BE15" s="271" t="s">
        <v>104</v>
      </c>
      <c r="BF15" s="271" t="s">
        <v>105</v>
      </c>
      <c r="BG15" s="269">
        <v>0</v>
      </c>
      <c r="BH15" s="42">
        <v>33000</v>
      </c>
      <c r="BI15" s="47" t="s">
        <v>100</v>
      </c>
      <c r="BJ15" s="32" t="s">
        <v>101</v>
      </c>
      <c r="BK15" s="32" t="s">
        <v>100</v>
      </c>
      <c r="BL15" s="26" t="s">
        <v>106</v>
      </c>
      <c r="BM15" s="26" t="s">
        <v>107</v>
      </c>
      <c r="BN15" s="209">
        <v>0</v>
      </c>
      <c r="BO15" s="26" t="s">
        <v>108</v>
      </c>
      <c r="BP15" s="34" t="s">
        <v>109</v>
      </c>
      <c r="BQ15" s="209">
        <v>4000</v>
      </c>
      <c r="BR15" s="26" t="s">
        <v>108</v>
      </c>
      <c r="BS15" s="34" t="s">
        <v>110</v>
      </c>
      <c r="BT15" s="209">
        <v>5500</v>
      </c>
      <c r="BU15" s="211">
        <v>11000</v>
      </c>
      <c r="BV15" s="212" t="s">
        <v>100</v>
      </c>
      <c r="BW15" s="212" t="s">
        <v>286</v>
      </c>
      <c r="BX15" s="213" t="s">
        <v>100</v>
      </c>
      <c r="BY15" s="213" t="s">
        <v>100</v>
      </c>
      <c r="BZ15" s="45">
        <v>2000</v>
      </c>
    </row>
    <row r="16" spans="1:78" ht="26.25" thickBot="1">
      <c r="A16" s="263" t="s">
        <v>115</v>
      </c>
      <c r="B16" s="263" t="s">
        <v>168</v>
      </c>
      <c r="C16" s="5"/>
      <c r="D16" s="296"/>
      <c r="E16" s="299"/>
      <c r="F16" s="345"/>
      <c r="G16" s="67">
        <v>890</v>
      </c>
      <c r="H16" s="68">
        <v>710</v>
      </c>
      <c r="I16" s="68">
        <v>6000</v>
      </c>
      <c r="J16" s="68">
        <v>6000</v>
      </c>
      <c r="K16" s="68">
        <v>50</v>
      </c>
      <c r="L16" s="68">
        <v>88</v>
      </c>
      <c r="M16" s="103" t="s">
        <v>236</v>
      </c>
      <c r="N16" s="69">
        <v>222056</v>
      </c>
      <c r="O16" s="68" t="s">
        <v>89</v>
      </c>
      <c r="P16" s="68">
        <v>5</v>
      </c>
      <c r="Q16" s="70" t="s">
        <v>90</v>
      </c>
      <c r="R16" s="70" t="s">
        <v>91</v>
      </c>
      <c r="S16" s="70" t="s">
        <v>91</v>
      </c>
      <c r="T16" s="71" t="s">
        <v>92</v>
      </c>
      <c r="U16" s="71" t="s">
        <v>93</v>
      </c>
      <c r="V16" s="68" t="s">
        <v>94</v>
      </c>
      <c r="W16" s="68">
        <v>31</v>
      </c>
      <c r="X16" s="72" t="s">
        <v>95</v>
      </c>
      <c r="Y16" s="72" t="s">
        <v>96</v>
      </c>
      <c r="Z16" s="104">
        <v>15000</v>
      </c>
      <c r="AA16" s="103" t="s">
        <v>141</v>
      </c>
      <c r="AB16" s="104">
        <v>4980</v>
      </c>
      <c r="AC16" s="68" t="s">
        <v>97</v>
      </c>
      <c r="AD16" s="73" t="s">
        <v>97</v>
      </c>
      <c r="AE16" s="35"/>
      <c r="AF16" s="37">
        <v>208601</v>
      </c>
      <c r="AG16" s="29" t="s">
        <v>98</v>
      </c>
      <c r="AH16" s="222">
        <v>17764</v>
      </c>
      <c r="AI16" s="223" t="s">
        <v>293</v>
      </c>
      <c r="AJ16" s="224">
        <v>15000</v>
      </c>
      <c r="AK16" s="224" t="s">
        <v>141</v>
      </c>
      <c r="AL16" s="224">
        <v>4280</v>
      </c>
      <c r="AM16" s="225" t="s">
        <v>99</v>
      </c>
      <c r="AN16" s="40">
        <v>62443</v>
      </c>
      <c r="AO16" s="41" t="s">
        <v>303</v>
      </c>
      <c r="AP16" s="41" t="s">
        <v>306</v>
      </c>
      <c r="AQ16" s="27">
        <v>3000</v>
      </c>
      <c r="AR16" s="27" t="s">
        <v>94</v>
      </c>
      <c r="AS16" s="27">
        <v>900</v>
      </c>
      <c r="AT16" s="29">
        <v>41</v>
      </c>
      <c r="AU16" s="29" t="s">
        <v>100</v>
      </c>
      <c r="AV16" s="31">
        <v>42</v>
      </c>
      <c r="AW16" s="31" t="s">
        <v>100</v>
      </c>
      <c r="AX16" s="42">
        <v>16000</v>
      </c>
      <c r="AY16" s="43" t="s">
        <v>100</v>
      </c>
      <c r="AZ16" s="43" t="s">
        <v>270</v>
      </c>
      <c r="BA16" s="32" t="s">
        <v>94</v>
      </c>
      <c r="BB16" s="32">
        <v>500</v>
      </c>
      <c r="BC16" s="44" t="s">
        <v>102</v>
      </c>
      <c r="BD16" s="33" t="s">
        <v>103</v>
      </c>
      <c r="BE16" s="271" t="s">
        <v>104</v>
      </c>
      <c r="BF16" s="271" t="s">
        <v>105</v>
      </c>
      <c r="BG16" s="269">
        <v>0</v>
      </c>
      <c r="BH16" s="42">
        <v>33000</v>
      </c>
      <c r="BI16" s="47" t="s">
        <v>100</v>
      </c>
      <c r="BJ16" s="32" t="s">
        <v>101</v>
      </c>
      <c r="BK16" s="32" t="s">
        <v>100</v>
      </c>
      <c r="BL16" s="26" t="s">
        <v>106</v>
      </c>
      <c r="BM16" s="26" t="s">
        <v>107</v>
      </c>
      <c r="BN16" s="209">
        <v>0</v>
      </c>
      <c r="BO16" s="26" t="s">
        <v>108</v>
      </c>
      <c r="BP16" s="34" t="s">
        <v>109</v>
      </c>
      <c r="BQ16" s="209">
        <v>4000</v>
      </c>
      <c r="BR16" s="26" t="s">
        <v>108</v>
      </c>
      <c r="BS16" s="34" t="s">
        <v>110</v>
      </c>
      <c r="BT16" s="209">
        <v>5500</v>
      </c>
      <c r="BU16" s="211">
        <v>11000</v>
      </c>
      <c r="BV16" s="212" t="s">
        <v>100</v>
      </c>
      <c r="BW16" s="212" t="s">
        <v>286</v>
      </c>
      <c r="BX16" s="213" t="s">
        <v>100</v>
      </c>
      <c r="BY16" s="213" t="s">
        <v>100</v>
      </c>
      <c r="BZ16" s="45">
        <v>2000</v>
      </c>
    </row>
    <row r="17" spans="1:78" ht="26.25" thickBot="1">
      <c r="A17" s="264" t="s">
        <v>116</v>
      </c>
      <c r="B17" s="264" t="s">
        <v>169</v>
      </c>
      <c r="C17" s="5"/>
      <c r="D17" s="296"/>
      <c r="E17" s="299"/>
      <c r="F17" s="345"/>
      <c r="G17" s="74">
        <v>1000</v>
      </c>
      <c r="H17" s="62">
        <v>800</v>
      </c>
      <c r="I17" s="62">
        <v>6000</v>
      </c>
      <c r="J17" s="62">
        <v>6000</v>
      </c>
      <c r="K17" s="62">
        <v>50</v>
      </c>
      <c r="L17" s="62">
        <v>96</v>
      </c>
      <c r="M17" s="101" t="s">
        <v>236</v>
      </c>
      <c r="N17" s="63">
        <v>228123</v>
      </c>
      <c r="O17" s="62" t="s">
        <v>89</v>
      </c>
      <c r="P17" s="62">
        <v>5</v>
      </c>
      <c r="Q17" s="64" t="s">
        <v>90</v>
      </c>
      <c r="R17" s="64" t="s">
        <v>91</v>
      </c>
      <c r="S17" s="64" t="s">
        <v>91</v>
      </c>
      <c r="T17" s="65" t="s">
        <v>92</v>
      </c>
      <c r="U17" s="65" t="s">
        <v>93</v>
      </c>
      <c r="V17" s="62" t="s">
        <v>94</v>
      </c>
      <c r="W17" s="62">
        <v>31</v>
      </c>
      <c r="X17" s="66" t="s">
        <v>95</v>
      </c>
      <c r="Y17" s="66" t="s">
        <v>96</v>
      </c>
      <c r="Z17" s="102">
        <v>15000</v>
      </c>
      <c r="AA17" s="101" t="s">
        <v>141</v>
      </c>
      <c r="AB17" s="102">
        <v>4980</v>
      </c>
      <c r="AC17" s="62" t="s">
        <v>97</v>
      </c>
      <c r="AD17" s="75" t="s">
        <v>97</v>
      </c>
      <c r="AE17" s="35"/>
      <c r="AF17" s="37">
        <v>212980</v>
      </c>
      <c r="AG17" s="29" t="s">
        <v>98</v>
      </c>
      <c r="AH17" s="226">
        <v>18250</v>
      </c>
      <c r="AI17" s="48" t="s">
        <v>293</v>
      </c>
      <c r="AJ17" s="39">
        <v>15000</v>
      </c>
      <c r="AK17" s="217" t="s">
        <v>141</v>
      </c>
      <c r="AL17" s="39">
        <v>4280</v>
      </c>
      <c r="AM17" s="30" t="s">
        <v>99</v>
      </c>
      <c r="AN17" s="40">
        <v>62443</v>
      </c>
      <c r="AO17" s="41" t="s">
        <v>303</v>
      </c>
      <c r="AP17" s="41" t="s">
        <v>306</v>
      </c>
      <c r="AQ17" s="27">
        <v>3000</v>
      </c>
      <c r="AR17" s="27" t="s">
        <v>94</v>
      </c>
      <c r="AS17" s="27">
        <v>900</v>
      </c>
      <c r="AT17" s="29">
        <v>41</v>
      </c>
      <c r="AU17" s="29" t="s">
        <v>100</v>
      </c>
      <c r="AV17" s="31">
        <v>42</v>
      </c>
      <c r="AW17" s="31" t="s">
        <v>100</v>
      </c>
      <c r="AX17" s="42">
        <v>16000</v>
      </c>
      <c r="AY17" s="43" t="s">
        <v>100</v>
      </c>
      <c r="AZ17" s="43" t="s">
        <v>270</v>
      </c>
      <c r="BA17" s="32" t="s">
        <v>94</v>
      </c>
      <c r="BB17" s="32">
        <v>500</v>
      </c>
      <c r="BC17" s="44" t="s">
        <v>102</v>
      </c>
      <c r="BD17" s="33" t="s">
        <v>103</v>
      </c>
      <c r="BE17" s="271" t="s">
        <v>104</v>
      </c>
      <c r="BF17" s="271" t="s">
        <v>105</v>
      </c>
      <c r="BG17" s="269">
        <v>0</v>
      </c>
      <c r="BH17" s="42">
        <v>33000</v>
      </c>
      <c r="BI17" s="47" t="s">
        <v>100</v>
      </c>
      <c r="BJ17" s="32" t="s">
        <v>101</v>
      </c>
      <c r="BK17" s="32" t="s">
        <v>100</v>
      </c>
      <c r="BL17" s="26" t="s">
        <v>106</v>
      </c>
      <c r="BM17" s="26" t="s">
        <v>107</v>
      </c>
      <c r="BN17" s="209">
        <v>0</v>
      </c>
      <c r="BO17" s="26" t="s">
        <v>108</v>
      </c>
      <c r="BP17" s="34" t="s">
        <v>109</v>
      </c>
      <c r="BQ17" s="209">
        <v>4000</v>
      </c>
      <c r="BR17" s="26" t="s">
        <v>108</v>
      </c>
      <c r="BS17" s="34" t="s">
        <v>110</v>
      </c>
      <c r="BT17" s="209">
        <v>5500</v>
      </c>
      <c r="BU17" s="211">
        <v>11000</v>
      </c>
      <c r="BV17" s="212" t="s">
        <v>100</v>
      </c>
      <c r="BW17" s="212" t="s">
        <v>286</v>
      </c>
      <c r="BX17" s="213" t="s">
        <v>100</v>
      </c>
      <c r="BY17" s="213" t="s">
        <v>100</v>
      </c>
      <c r="BZ17" s="45">
        <v>2000</v>
      </c>
    </row>
    <row r="18" spans="1:78" ht="26.25" thickBot="1">
      <c r="A18" s="265" t="s">
        <v>117</v>
      </c>
      <c r="B18" s="265" t="s">
        <v>170</v>
      </c>
      <c r="C18" s="5"/>
      <c r="D18" s="296"/>
      <c r="E18" s="299"/>
      <c r="F18" s="345"/>
      <c r="G18" s="74">
        <v>1125</v>
      </c>
      <c r="H18" s="62">
        <v>900</v>
      </c>
      <c r="I18" s="62">
        <v>6000</v>
      </c>
      <c r="J18" s="62">
        <v>6000</v>
      </c>
      <c r="K18" s="62">
        <v>50</v>
      </c>
      <c r="L18" s="62">
        <v>110</v>
      </c>
      <c r="M18" s="101" t="s">
        <v>236</v>
      </c>
      <c r="N18" s="63">
        <v>252047</v>
      </c>
      <c r="O18" s="62" t="s">
        <v>89</v>
      </c>
      <c r="P18" s="62">
        <v>5</v>
      </c>
      <c r="Q18" s="64" t="s">
        <v>90</v>
      </c>
      <c r="R18" s="64" t="s">
        <v>91</v>
      </c>
      <c r="S18" s="64" t="s">
        <v>91</v>
      </c>
      <c r="T18" s="65" t="s">
        <v>92</v>
      </c>
      <c r="U18" s="65" t="s">
        <v>93</v>
      </c>
      <c r="V18" s="62" t="s">
        <v>94</v>
      </c>
      <c r="W18" s="62">
        <v>31</v>
      </c>
      <c r="X18" s="66" t="s">
        <v>95</v>
      </c>
      <c r="Y18" s="66" t="s">
        <v>96</v>
      </c>
      <c r="Z18" s="102">
        <v>15000</v>
      </c>
      <c r="AA18" s="101" t="s">
        <v>141</v>
      </c>
      <c r="AB18" s="102">
        <v>4980</v>
      </c>
      <c r="AC18" s="62" t="s">
        <v>97</v>
      </c>
      <c r="AD18" s="75" t="s">
        <v>97</v>
      </c>
      <c r="AE18" s="35"/>
      <c r="AF18" s="37">
        <v>236567</v>
      </c>
      <c r="AG18" s="29" t="s">
        <v>98</v>
      </c>
      <c r="AH18" s="226">
        <v>20164</v>
      </c>
      <c r="AI18" s="48" t="s">
        <v>293</v>
      </c>
      <c r="AJ18" s="39">
        <v>15000</v>
      </c>
      <c r="AK18" s="217" t="s">
        <v>141</v>
      </c>
      <c r="AL18" s="39">
        <v>4280</v>
      </c>
      <c r="AM18" s="30" t="s">
        <v>99</v>
      </c>
      <c r="AN18" s="40">
        <v>62443</v>
      </c>
      <c r="AO18" s="41" t="s">
        <v>303</v>
      </c>
      <c r="AP18" s="41" t="s">
        <v>306</v>
      </c>
      <c r="AQ18" s="27">
        <v>3000</v>
      </c>
      <c r="AR18" s="27" t="s">
        <v>94</v>
      </c>
      <c r="AS18" s="27">
        <v>900</v>
      </c>
      <c r="AT18" s="29">
        <v>41</v>
      </c>
      <c r="AU18" s="29" t="s">
        <v>100</v>
      </c>
      <c r="AV18" s="31">
        <v>42</v>
      </c>
      <c r="AW18" s="31" t="s">
        <v>100</v>
      </c>
      <c r="AX18" s="42">
        <v>16000</v>
      </c>
      <c r="AY18" s="43" t="s">
        <v>100</v>
      </c>
      <c r="AZ18" s="43" t="s">
        <v>270</v>
      </c>
      <c r="BA18" s="32" t="s">
        <v>94</v>
      </c>
      <c r="BB18" s="32">
        <v>500</v>
      </c>
      <c r="BC18" s="44" t="s">
        <v>102</v>
      </c>
      <c r="BD18" s="33" t="s">
        <v>103</v>
      </c>
      <c r="BE18" s="271" t="s">
        <v>104</v>
      </c>
      <c r="BF18" s="271" t="s">
        <v>105</v>
      </c>
      <c r="BG18" s="269">
        <v>0</v>
      </c>
      <c r="BH18" s="42">
        <v>33000</v>
      </c>
      <c r="BI18" s="47" t="s">
        <v>100</v>
      </c>
      <c r="BJ18" s="32" t="s">
        <v>101</v>
      </c>
      <c r="BK18" s="32" t="s">
        <v>100</v>
      </c>
      <c r="BL18" s="26" t="s">
        <v>106</v>
      </c>
      <c r="BM18" s="26" t="s">
        <v>107</v>
      </c>
      <c r="BN18" s="209">
        <v>0</v>
      </c>
      <c r="BO18" s="26" t="s">
        <v>108</v>
      </c>
      <c r="BP18" s="34" t="s">
        <v>109</v>
      </c>
      <c r="BQ18" s="209">
        <v>4000</v>
      </c>
      <c r="BR18" s="26" t="s">
        <v>108</v>
      </c>
      <c r="BS18" s="34" t="s">
        <v>110</v>
      </c>
      <c r="BT18" s="209">
        <v>5500</v>
      </c>
      <c r="BU18" s="211">
        <v>11000</v>
      </c>
      <c r="BV18" s="212" t="s">
        <v>100</v>
      </c>
      <c r="BW18" s="212" t="s">
        <v>286</v>
      </c>
      <c r="BX18" s="213" t="s">
        <v>100</v>
      </c>
      <c r="BY18" s="213" t="s">
        <v>100</v>
      </c>
      <c r="BZ18" s="45">
        <v>2000</v>
      </c>
    </row>
    <row r="19" spans="1:78" ht="26.25" thickBot="1">
      <c r="A19" s="266" t="s">
        <v>118</v>
      </c>
      <c r="B19" s="266" t="s">
        <v>171</v>
      </c>
      <c r="C19" s="5"/>
      <c r="D19" s="296"/>
      <c r="E19" s="299"/>
      <c r="F19" s="345"/>
      <c r="G19" s="92">
        <v>1250</v>
      </c>
      <c r="H19" s="93">
        <v>1000</v>
      </c>
      <c r="I19" s="93">
        <v>6000</v>
      </c>
      <c r="J19" s="93">
        <v>6000</v>
      </c>
      <c r="K19" s="93">
        <v>50</v>
      </c>
      <c r="L19" s="93">
        <v>120</v>
      </c>
      <c r="M19" s="108" t="s">
        <v>236</v>
      </c>
      <c r="N19" s="95">
        <v>271914</v>
      </c>
      <c r="O19" s="93" t="s">
        <v>89</v>
      </c>
      <c r="P19" s="93">
        <v>5</v>
      </c>
      <c r="Q19" s="96" t="s">
        <v>90</v>
      </c>
      <c r="R19" s="96" t="s">
        <v>91</v>
      </c>
      <c r="S19" s="96" t="s">
        <v>91</v>
      </c>
      <c r="T19" s="97" t="s">
        <v>92</v>
      </c>
      <c r="U19" s="97" t="s">
        <v>93</v>
      </c>
      <c r="V19" s="93" t="s">
        <v>94</v>
      </c>
      <c r="W19" s="93">
        <v>31</v>
      </c>
      <c r="X19" s="98" t="s">
        <v>95</v>
      </c>
      <c r="Y19" s="98" t="s">
        <v>96</v>
      </c>
      <c r="Z19" s="109">
        <v>15000</v>
      </c>
      <c r="AA19" s="108" t="s">
        <v>141</v>
      </c>
      <c r="AB19" s="109">
        <v>4980</v>
      </c>
      <c r="AC19" s="93" t="s">
        <v>97</v>
      </c>
      <c r="AD19" s="100" t="s">
        <v>97</v>
      </c>
      <c r="AE19" s="35"/>
      <c r="AF19" s="37">
        <v>257044</v>
      </c>
      <c r="AG19" s="29" t="s">
        <v>98</v>
      </c>
      <c r="AH19" s="218">
        <v>21753</v>
      </c>
      <c r="AI19" s="219" t="s">
        <v>293</v>
      </c>
      <c r="AJ19" s="220">
        <v>15000</v>
      </c>
      <c r="AK19" s="227" t="s">
        <v>141</v>
      </c>
      <c r="AL19" s="220">
        <v>4280</v>
      </c>
      <c r="AM19" s="221" t="s">
        <v>99</v>
      </c>
      <c r="AN19" s="40">
        <v>69135</v>
      </c>
      <c r="AO19" s="41" t="s">
        <v>303</v>
      </c>
      <c r="AP19" s="41" t="s">
        <v>306</v>
      </c>
      <c r="AQ19" s="27">
        <v>3000</v>
      </c>
      <c r="AR19" s="27" t="s">
        <v>94</v>
      </c>
      <c r="AS19" s="27">
        <v>900</v>
      </c>
      <c r="AT19" s="29">
        <v>41</v>
      </c>
      <c r="AU19" s="29" t="s">
        <v>100</v>
      </c>
      <c r="AV19" s="31">
        <v>42</v>
      </c>
      <c r="AW19" s="31" t="s">
        <v>100</v>
      </c>
      <c r="AX19" s="42">
        <v>16000</v>
      </c>
      <c r="AY19" s="43" t="s">
        <v>100</v>
      </c>
      <c r="AZ19" s="43" t="s">
        <v>270</v>
      </c>
      <c r="BA19" s="32" t="s">
        <v>94</v>
      </c>
      <c r="BB19" s="32">
        <v>500</v>
      </c>
      <c r="BC19" s="44" t="s">
        <v>102</v>
      </c>
      <c r="BD19" s="33" t="s">
        <v>103</v>
      </c>
      <c r="BE19" s="271" t="s">
        <v>104</v>
      </c>
      <c r="BF19" s="271" t="s">
        <v>105</v>
      </c>
      <c r="BG19" s="269">
        <v>0</v>
      </c>
      <c r="BH19" s="42">
        <v>33000</v>
      </c>
      <c r="BI19" s="47" t="s">
        <v>100</v>
      </c>
      <c r="BJ19" s="32" t="s">
        <v>101</v>
      </c>
      <c r="BK19" s="32" t="s">
        <v>100</v>
      </c>
      <c r="BL19" s="26" t="s">
        <v>106</v>
      </c>
      <c r="BM19" s="26" t="s">
        <v>107</v>
      </c>
      <c r="BN19" s="209">
        <v>0</v>
      </c>
      <c r="BO19" s="26" t="s">
        <v>108</v>
      </c>
      <c r="BP19" s="34" t="s">
        <v>109</v>
      </c>
      <c r="BQ19" s="209">
        <v>4000</v>
      </c>
      <c r="BR19" s="26" t="s">
        <v>108</v>
      </c>
      <c r="BS19" s="34" t="s">
        <v>110</v>
      </c>
      <c r="BT19" s="209">
        <v>5500</v>
      </c>
      <c r="BU19" s="211">
        <v>11000</v>
      </c>
      <c r="BV19" s="212" t="s">
        <v>100</v>
      </c>
      <c r="BW19" s="212" t="s">
        <v>286</v>
      </c>
      <c r="BX19" s="213" t="s">
        <v>100</v>
      </c>
      <c r="BY19" s="213" t="s">
        <v>100</v>
      </c>
      <c r="BZ19" s="45">
        <v>2000</v>
      </c>
    </row>
    <row r="20" spans="1:78" ht="26.25" thickBot="1">
      <c r="A20" s="272" t="s">
        <v>119</v>
      </c>
      <c r="B20" s="273" t="s">
        <v>173</v>
      </c>
      <c r="C20" s="5"/>
      <c r="D20" s="296"/>
      <c r="E20" s="299"/>
      <c r="F20" s="345"/>
      <c r="G20" s="67">
        <v>1400</v>
      </c>
      <c r="H20" s="68">
        <v>1120</v>
      </c>
      <c r="I20" s="68">
        <v>6000</v>
      </c>
      <c r="J20" s="68">
        <v>6000</v>
      </c>
      <c r="K20" s="68">
        <v>50</v>
      </c>
      <c r="L20" s="68">
        <v>135</v>
      </c>
      <c r="M20" s="83" t="s">
        <v>237</v>
      </c>
      <c r="N20" s="69">
        <v>280092</v>
      </c>
      <c r="O20" s="68" t="s">
        <v>89</v>
      </c>
      <c r="P20" s="68">
        <v>5</v>
      </c>
      <c r="Q20" s="70" t="s">
        <v>90</v>
      </c>
      <c r="R20" s="70" t="s">
        <v>91</v>
      </c>
      <c r="S20" s="70" t="s">
        <v>91</v>
      </c>
      <c r="T20" s="71" t="s">
        <v>92</v>
      </c>
      <c r="U20" s="71" t="s">
        <v>93</v>
      </c>
      <c r="V20" s="68" t="s">
        <v>94</v>
      </c>
      <c r="W20" s="68">
        <v>31</v>
      </c>
      <c r="X20" s="72" t="s">
        <v>95</v>
      </c>
      <c r="Y20" s="72" t="s">
        <v>96</v>
      </c>
      <c r="Z20" s="86">
        <v>17000</v>
      </c>
      <c r="AA20" s="83" t="s">
        <v>142</v>
      </c>
      <c r="AB20" s="86">
        <v>4980</v>
      </c>
      <c r="AC20" s="68" t="s">
        <v>97</v>
      </c>
      <c r="AD20" s="73" t="s">
        <v>97</v>
      </c>
      <c r="AE20" s="35"/>
      <c r="AF20" s="37">
        <v>261740</v>
      </c>
      <c r="AG20" s="29" t="s">
        <v>98</v>
      </c>
      <c r="AH20" s="222">
        <v>22407</v>
      </c>
      <c r="AI20" s="223" t="s">
        <v>294</v>
      </c>
      <c r="AJ20" s="224">
        <v>15000</v>
      </c>
      <c r="AK20" s="224" t="s">
        <v>302</v>
      </c>
      <c r="AL20" s="224">
        <v>5455</v>
      </c>
      <c r="AM20" s="225" t="s">
        <v>99</v>
      </c>
      <c r="AN20" s="235">
        <v>69135</v>
      </c>
      <c r="AO20" s="236" t="s">
        <v>303</v>
      </c>
      <c r="AP20" s="236" t="s">
        <v>306</v>
      </c>
      <c r="AQ20" s="237">
        <v>3000</v>
      </c>
      <c r="AR20" s="237" t="s">
        <v>94</v>
      </c>
      <c r="AS20" s="237">
        <v>900</v>
      </c>
      <c r="AT20" s="29">
        <v>41</v>
      </c>
      <c r="AU20" s="29" t="s">
        <v>100</v>
      </c>
      <c r="AV20" s="31">
        <v>42</v>
      </c>
      <c r="AW20" s="31" t="s">
        <v>100</v>
      </c>
      <c r="AX20" s="42">
        <v>16000</v>
      </c>
      <c r="AY20" s="43" t="s">
        <v>100</v>
      </c>
      <c r="AZ20" s="43" t="s">
        <v>270</v>
      </c>
      <c r="BA20" s="32" t="s">
        <v>94</v>
      </c>
      <c r="BB20" s="32">
        <v>500</v>
      </c>
      <c r="BC20" s="44" t="s">
        <v>102</v>
      </c>
      <c r="BD20" s="33" t="s">
        <v>103</v>
      </c>
      <c r="BE20" s="271" t="s">
        <v>104</v>
      </c>
      <c r="BF20" s="271" t="s">
        <v>105</v>
      </c>
      <c r="BG20" s="269">
        <v>0</v>
      </c>
      <c r="BH20" s="42">
        <v>33000</v>
      </c>
      <c r="BI20" s="47" t="s">
        <v>100</v>
      </c>
      <c r="BJ20" s="32" t="s">
        <v>101</v>
      </c>
      <c r="BK20" s="32" t="s">
        <v>100</v>
      </c>
      <c r="BL20" s="26" t="s">
        <v>106</v>
      </c>
      <c r="BM20" s="26" t="s">
        <v>107</v>
      </c>
      <c r="BN20" s="209">
        <v>0</v>
      </c>
      <c r="BO20" s="26" t="s">
        <v>108</v>
      </c>
      <c r="BP20" s="34" t="s">
        <v>109</v>
      </c>
      <c r="BQ20" s="209">
        <v>4000</v>
      </c>
      <c r="BR20" s="26" t="s">
        <v>108</v>
      </c>
      <c r="BS20" s="34" t="s">
        <v>110</v>
      </c>
      <c r="BT20" s="209">
        <v>5500</v>
      </c>
      <c r="BU20" s="211">
        <v>11000</v>
      </c>
      <c r="BV20" s="212" t="s">
        <v>100</v>
      </c>
      <c r="BW20" s="212" t="s">
        <v>286</v>
      </c>
      <c r="BX20" s="213" t="s">
        <v>100</v>
      </c>
      <c r="BY20" s="213" t="s">
        <v>100</v>
      </c>
      <c r="BZ20" s="45">
        <v>2000</v>
      </c>
    </row>
    <row r="21" spans="1:78" ht="26.25" thickBot="1">
      <c r="A21" s="274" t="s">
        <v>120</v>
      </c>
      <c r="B21" s="275" t="s">
        <v>335</v>
      </c>
      <c r="C21" s="5"/>
      <c r="D21" s="296"/>
      <c r="E21" s="299"/>
      <c r="F21" s="345"/>
      <c r="G21" s="76">
        <v>1565</v>
      </c>
      <c r="H21" s="77">
        <v>1250</v>
      </c>
      <c r="I21" s="77">
        <v>6000</v>
      </c>
      <c r="J21" s="77">
        <v>6000</v>
      </c>
      <c r="K21" s="77">
        <v>50</v>
      </c>
      <c r="L21" s="77">
        <v>152</v>
      </c>
      <c r="M21" s="85" t="s">
        <v>237</v>
      </c>
      <c r="N21" s="78">
        <v>319883</v>
      </c>
      <c r="O21" s="77" t="s">
        <v>89</v>
      </c>
      <c r="P21" s="77">
        <v>5</v>
      </c>
      <c r="Q21" s="79" t="s">
        <v>90</v>
      </c>
      <c r="R21" s="79" t="s">
        <v>91</v>
      </c>
      <c r="S21" s="79" t="s">
        <v>91</v>
      </c>
      <c r="T21" s="80" t="s">
        <v>92</v>
      </c>
      <c r="U21" s="80" t="s">
        <v>93</v>
      </c>
      <c r="V21" s="77" t="s">
        <v>94</v>
      </c>
      <c r="W21" s="77">
        <v>31</v>
      </c>
      <c r="X21" s="81" t="s">
        <v>95</v>
      </c>
      <c r="Y21" s="81" t="s">
        <v>96</v>
      </c>
      <c r="Z21" s="88">
        <v>17000</v>
      </c>
      <c r="AA21" s="85" t="s">
        <v>142</v>
      </c>
      <c r="AB21" s="88">
        <v>4980</v>
      </c>
      <c r="AC21" s="77" t="s">
        <v>97</v>
      </c>
      <c r="AD21" s="82" t="s">
        <v>97</v>
      </c>
      <c r="AE21" s="35"/>
      <c r="AF21" s="37">
        <v>298939</v>
      </c>
      <c r="AG21" s="29" t="s">
        <v>98</v>
      </c>
      <c r="AH21" s="218">
        <v>25591</v>
      </c>
      <c r="AI21" s="219" t="s">
        <v>294</v>
      </c>
      <c r="AJ21" s="220">
        <v>15000</v>
      </c>
      <c r="AK21" s="227" t="s">
        <v>302</v>
      </c>
      <c r="AL21" s="220">
        <v>5455</v>
      </c>
      <c r="AM21" s="221" t="s">
        <v>99</v>
      </c>
      <c r="AN21" s="238">
        <v>69135</v>
      </c>
      <c r="AO21" s="239" t="s">
        <v>304</v>
      </c>
      <c r="AP21" s="239" t="s">
        <v>307</v>
      </c>
      <c r="AQ21" s="240">
        <v>3000</v>
      </c>
      <c r="AR21" s="240" t="s">
        <v>94</v>
      </c>
      <c r="AS21" s="240">
        <v>1500</v>
      </c>
      <c r="AT21" s="29">
        <v>41</v>
      </c>
      <c r="AU21" s="29" t="s">
        <v>100</v>
      </c>
      <c r="AV21" s="31">
        <v>42</v>
      </c>
      <c r="AW21" s="31" t="s">
        <v>100</v>
      </c>
      <c r="AX21" s="42">
        <v>16000</v>
      </c>
      <c r="AY21" s="43" t="s">
        <v>100</v>
      </c>
      <c r="AZ21" s="43" t="s">
        <v>270</v>
      </c>
      <c r="BA21" s="32" t="s">
        <v>94</v>
      </c>
      <c r="BB21" s="32">
        <v>500</v>
      </c>
      <c r="BC21" s="44" t="s">
        <v>102</v>
      </c>
      <c r="BD21" s="33" t="s">
        <v>103</v>
      </c>
      <c r="BE21" s="271" t="s">
        <v>104</v>
      </c>
      <c r="BF21" s="271" t="s">
        <v>105</v>
      </c>
      <c r="BG21" s="269">
        <v>0</v>
      </c>
      <c r="BH21" s="42">
        <v>35000</v>
      </c>
      <c r="BI21" s="47" t="s">
        <v>100</v>
      </c>
      <c r="BJ21" s="32" t="s">
        <v>101</v>
      </c>
      <c r="BK21" s="32" t="s">
        <v>100</v>
      </c>
      <c r="BL21" s="26" t="s">
        <v>106</v>
      </c>
      <c r="BM21" s="26" t="s">
        <v>107</v>
      </c>
      <c r="BN21" s="209">
        <v>0</v>
      </c>
      <c r="BO21" s="26" t="s">
        <v>108</v>
      </c>
      <c r="BP21" s="34" t="s">
        <v>109</v>
      </c>
      <c r="BQ21" s="209">
        <v>4000</v>
      </c>
      <c r="BR21" s="26" t="s">
        <v>108</v>
      </c>
      <c r="BS21" s="34" t="s">
        <v>110</v>
      </c>
      <c r="BT21" s="209">
        <v>5500</v>
      </c>
      <c r="BU21" s="211">
        <v>11000</v>
      </c>
      <c r="BV21" s="212" t="s">
        <v>100</v>
      </c>
      <c r="BW21" s="212" t="s">
        <v>286</v>
      </c>
      <c r="BX21" s="213" t="s">
        <v>100</v>
      </c>
      <c r="BY21" s="213" t="s">
        <v>100</v>
      </c>
      <c r="BZ21" s="45">
        <v>2000</v>
      </c>
    </row>
    <row r="22" spans="1:78" ht="39" thickBot="1">
      <c r="A22" s="265" t="s">
        <v>137</v>
      </c>
      <c r="B22" s="265" t="s">
        <v>174</v>
      </c>
      <c r="C22" s="5"/>
      <c r="D22" s="296"/>
      <c r="E22" s="299"/>
      <c r="F22" s="345"/>
      <c r="G22" s="110">
        <v>1750</v>
      </c>
      <c r="H22" s="56">
        <v>1400</v>
      </c>
      <c r="I22" s="56">
        <v>6000</v>
      </c>
      <c r="J22" s="56">
        <v>6000</v>
      </c>
      <c r="K22" s="56">
        <v>50</v>
      </c>
      <c r="L22" s="56">
        <v>170</v>
      </c>
      <c r="M22" s="89" t="s">
        <v>238</v>
      </c>
      <c r="N22" s="57">
        <v>337352</v>
      </c>
      <c r="O22" s="56" t="s">
        <v>89</v>
      </c>
      <c r="P22" s="56">
        <v>5</v>
      </c>
      <c r="Q22" s="58" t="s">
        <v>90</v>
      </c>
      <c r="R22" s="58" t="s">
        <v>91</v>
      </c>
      <c r="S22" s="58" t="s">
        <v>91</v>
      </c>
      <c r="T22" s="59" t="s">
        <v>92</v>
      </c>
      <c r="U22" s="59" t="s">
        <v>93</v>
      </c>
      <c r="V22" s="56" t="s">
        <v>94</v>
      </c>
      <c r="W22" s="56">
        <v>31</v>
      </c>
      <c r="X22" s="60" t="s">
        <v>95</v>
      </c>
      <c r="Y22" s="60" t="s">
        <v>96</v>
      </c>
      <c r="Z22" s="90">
        <v>18000</v>
      </c>
      <c r="AA22" s="89" t="s">
        <v>143</v>
      </c>
      <c r="AB22" s="91">
        <v>5800</v>
      </c>
      <c r="AC22" s="56" t="s">
        <v>97</v>
      </c>
      <c r="AD22" s="61" t="s">
        <v>97</v>
      </c>
      <c r="AE22" s="35"/>
      <c r="AF22" s="37">
        <v>313508</v>
      </c>
      <c r="AG22" s="29" t="s">
        <v>98</v>
      </c>
      <c r="AH22" s="222">
        <v>26988</v>
      </c>
      <c r="AI22" s="223" t="s">
        <v>295</v>
      </c>
      <c r="AJ22" s="224">
        <v>21000</v>
      </c>
      <c r="AK22" s="224" t="s">
        <v>185</v>
      </c>
      <c r="AL22" s="224">
        <v>8800</v>
      </c>
      <c r="AM22" s="225" t="s">
        <v>99</v>
      </c>
      <c r="AN22" s="40">
        <v>69135</v>
      </c>
      <c r="AO22" s="41" t="s">
        <v>304</v>
      </c>
      <c r="AP22" s="41" t="s">
        <v>307</v>
      </c>
      <c r="AQ22" s="27">
        <v>3000</v>
      </c>
      <c r="AR22" s="27" t="s">
        <v>94</v>
      </c>
      <c r="AS22" s="27">
        <v>1500</v>
      </c>
      <c r="AT22" s="29">
        <v>41</v>
      </c>
      <c r="AU22" s="29" t="s">
        <v>100</v>
      </c>
      <c r="AV22" s="31">
        <v>42</v>
      </c>
      <c r="AW22" s="31" t="s">
        <v>100</v>
      </c>
      <c r="AX22" s="42">
        <v>16000</v>
      </c>
      <c r="AY22" s="43" t="s">
        <v>100</v>
      </c>
      <c r="AZ22" s="43" t="s">
        <v>270</v>
      </c>
      <c r="BA22" s="32" t="s">
        <v>94</v>
      </c>
      <c r="BB22" s="32">
        <v>500</v>
      </c>
      <c r="BC22" s="44" t="s">
        <v>102</v>
      </c>
      <c r="BD22" s="33" t="s">
        <v>103</v>
      </c>
      <c r="BE22" s="271" t="s">
        <v>104</v>
      </c>
      <c r="BF22" s="271" t="s">
        <v>105</v>
      </c>
      <c r="BG22" s="269">
        <v>0</v>
      </c>
      <c r="BH22" s="42">
        <v>35000</v>
      </c>
      <c r="BI22" s="47" t="s">
        <v>100</v>
      </c>
      <c r="BJ22" s="32" t="s">
        <v>101</v>
      </c>
      <c r="BK22" s="32" t="s">
        <v>100</v>
      </c>
      <c r="BL22" s="26" t="s">
        <v>106</v>
      </c>
      <c r="BM22" s="26" t="s">
        <v>107</v>
      </c>
      <c r="BN22" s="209">
        <v>0</v>
      </c>
      <c r="BO22" s="26" t="s">
        <v>108</v>
      </c>
      <c r="BP22" s="34" t="s">
        <v>109</v>
      </c>
      <c r="BQ22" s="209">
        <v>4000</v>
      </c>
      <c r="BR22" s="26" t="s">
        <v>108</v>
      </c>
      <c r="BS22" s="34" t="s">
        <v>110</v>
      </c>
      <c r="BT22" s="209">
        <v>5500</v>
      </c>
      <c r="BU22" s="211">
        <v>11000</v>
      </c>
      <c r="BV22" s="212" t="s">
        <v>100</v>
      </c>
      <c r="BW22" s="212" t="s">
        <v>286</v>
      </c>
      <c r="BX22" s="213" t="s">
        <v>100</v>
      </c>
      <c r="BY22" s="213" t="s">
        <v>100</v>
      </c>
      <c r="BZ22" s="45">
        <v>2000</v>
      </c>
    </row>
    <row r="23" spans="1:78" ht="43.5" customHeight="1" thickBot="1">
      <c r="A23" s="214"/>
      <c r="B23" s="215"/>
      <c r="C23" s="5"/>
      <c r="D23" s="296"/>
      <c r="E23" s="299"/>
      <c r="F23" s="345"/>
      <c r="G23" s="110">
        <v>2000</v>
      </c>
      <c r="H23" s="56">
        <v>1600</v>
      </c>
      <c r="I23" s="56">
        <v>6000</v>
      </c>
      <c r="J23" s="56">
        <v>6000</v>
      </c>
      <c r="K23" s="56">
        <v>50</v>
      </c>
      <c r="L23" s="56">
        <v>195</v>
      </c>
      <c r="M23" s="105" t="s">
        <v>239</v>
      </c>
      <c r="N23" s="57">
        <v>389730</v>
      </c>
      <c r="O23" s="56" t="s">
        <v>89</v>
      </c>
      <c r="P23" s="56">
        <v>5</v>
      </c>
      <c r="Q23" s="58" t="s">
        <v>90</v>
      </c>
      <c r="R23" s="58" t="s">
        <v>91</v>
      </c>
      <c r="S23" s="58" t="s">
        <v>91</v>
      </c>
      <c r="T23" s="59" t="s">
        <v>92</v>
      </c>
      <c r="U23" s="59" t="s">
        <v>93</v>
      </c>
      <c r="V23" s="56" t="s">
        <v>94</v>
      </c>
      <c r="W23" s="56">
        <v>31</v>
      </c>
      <c r="X23" s="60" t="s">
        <v>95</v>
      </c>
      <c r="Y23" s="60" t="s">
        <v>96</v>
      </c>
      <c r="Z23" s="106">
        <v>20000</v>
      </c>
      <c r="AA23" s="105" t="s">
        <v>144</v>
      </c>
      <c r="AB23" s="107">
        <v>6700</v>
      </c>
      <c r="AC23" s="56" t="s">
        <v>97</v>
      </c>
      <c r="AD23" s="61" t="s">
        <v>97</v>
      </c>
      <c r="AE23" s="35"/>
      <c r="AF23" s="37">
        <v>362130</v>
      </c>
      <c r="AG23" s="29" t="s">
        <v>98</v>
      </c>
      <c r="AH23" s="226">
        <v>31178</v>
      </c>
      <c r="AI23" s="48" t="s">
        <v>295</v>
      </c>
      <c r="AJ23" s="39">
        <v>21000</v>
      </c>
      <c r="AK23" s="39" t="s">
        <v>185</v>
      </c>
      <c r="AL23" s="39">
        <v>8800</v>
      </c>
      <c r="AM23" s="30" t="s">
        <v>99</v>
      </c>
      <c r="AN23" s="40">
        <v>69135</v>
      </c>
      <c r="AO23" s="41" t="s">
        <v>304</v>
      </c>
      <c r="AP23" s="41" t="s">
        <v>307</v>
      </c>
      <c r="AQ23" s="27">
        <v>3000</v>
      </c>
      <c r="AR23" s="27" t="s">
        <v>94</v>
      </c>
      <c r="AS23" s="27">
        <v>1500</v>
      </c>
      <c r="AT23" s="29">
        <v>41</v>
      </c>
      <c r="AU23" s="29" t="s">
        <v>100</v>
      </c>
      <c r="AV23" s="31">
        <v>42</v>
      </c>
      <c r="AW23" s="31" t="s">
        <v>100</v>
      </c>
      <c r="AX23" s="42">
        <v>16000</v>
      </c>
      <c r="AY23" s="43" t="s">
        <v>100</v>
      </c>
      <c r="AZ23" s="43" t="s">
        <v>270</v>
      </c>
      <c r="BA23" s="32" t="s">
        <v>94</v>
      </c>
      <c r="BB23" s="32">
        <v>500</v>
      </c>
      <c r="BC23" s="44" t="s">
        <v>102</v>
      </c>
      <c r="BD23" s="33" t="s">
        <v>103</v>
      </c>
      <c r="BE23" s="271" t="s">
        <v>104</v>
      </c>
      <c r="BF23" s="271" t="s">
        <v>105</v>
      </c>
      <c r="BG23" s="269">
        <v>0</v>
      </c>
      <c r="BH23" s="42">
        <v>36500</v>
      </c>
      <c r="BI23" s="47" t="s">
        <v>100</v>
      </c>
      <c r="BJ23" s="32" t="s">
        <v>101</v>
      </c>
      <c r="BK23" s="32" t="s">
        <v>100</v>
      </c>
      <c r="BL23" s="26" t="s">
        <v>106</v>
      </c>
      <c r="BM23" s="26" t="s">
        <v>107</v>
      </c>
      <c r="BN23" s="209">
        <v>0</v>
      </c>
      <c r="BO23" s="26" t="s">
        <v>108</v>
      </c>
      <c r="BP23" s="34" t="s">
        <v>109</v>
      </c>
      <c r="BQ23" s="209">
        <v>4000</v>
      </c>
      <c r="BR23" s="26" t="s">
        <v>108</v>
      </c>
      <c r="BS23" s="34" t="s">
        <v>110</v>
      </c>
      <c r="BT23" s="209">
        <v>5500</v>
      </c>
      <c r="BU23" s="211">
        <v>11000</v>
      </c>
      <c r="BV23" s="212" t="s">
        <v>100</v>
      </c>
      <c r="BW23" s="212" t="s">
        <v>286</v>
      </c>
      <c r="BX23" s="213" t="s">
        <v>100</v>
      </c>
      <c r="BY23" s="213" t="s">
        <v>100</v>
      </c>
      <c r="BZ23" s="45">
        <v>2000</v>
      </c>
    </row>
    <row r="24" spans="1:78" ht="26.25" thickBot="1">
      <c r="A24" s="118" t="s">
        <v>134</v>
      </c>
      <c r="B24" s="181" t="s">
        <v>336</v>
      </c>
      <c r="C24" s="5"/>
      <c r="D24" s="296"/>
      <c r="E24" s="299"/>
      <c r="F24" s="345"/>
      <c r="G24" s="110">
        <v>2500</v>
      </c>
      <c r="H24" s="56">
        <v>2000</v>
      </c>
      <c r="I24" s="56">
        <v>6000</v>
      </c>
      <c r="J24" s="56">
        <v>6000</v>
      </c>
      <c r="K24" s="56">
        <v>50</v>
      </c>
      <c r="L24" s="56">
        <v>240</v>
      </c>
      <c r="M24" s="89" t="s">
        <v>240</v>
      </c>
      <c r="N24" s="57">
        <v>431769</v>
      </c>
      <c r="O24" s="56" t="s">
        <v>89</v>
      </c>
      <c r="P24" s="56">
        <v>5</v>
      </c>
      <c r="Q24" s="58" t="s">
        <v>90</v>
      </c>
      <c r="R24" s="58" t="s">
        <v>91</v>
      </c>
      <c r="S24" s="58" t="s">
        <v>91</v>
      </c>
      <c r="T24" s="59" t="s">
        <v>92</v>
      </c>
      <c r="U24" s="59" t="s">
        <v>93</v>
      </c>
      <c r="V24" s="56" t="s">
        <v>94</v>
      </c>
      <c r="W24" s="56">
        <v>31</v>
      </c>
      <c r="X24" s="60" t="s">
        <v>95</v>
      </c>
      <c r="Y24" s="60" t="s">
        <v>96</v>
      </c>
      <c r="Z24" s="90">
        <v>21000</v>
      </c>
      <c r="AA24" s="89" t="s">
        <v>185</v>
      </c>
      <c r="AB24" s="91">
        <v>8700</v>
      </c>
      <c r="AC24" s="56" t="s">
        <v>97</v>
      </c>
      <c r="AD24" s="61" t="s">
        <v>97</v>
      </c>
      <c r="AE24" s="35"/>
      <c r="AF24" s="37">
        <v>389264</v>
      </c>
      <c r="AG24" s="29" t="s">
        <v>98</v>
      </c>
      <c r="AH24" s="218">
        <v>34542</v>
      </c>
      <c r="AI24" s="219" t="s">
        <v>295</v>
      </c>
      <c r="AJ24" s="220">
        <v>21000</v>
      </c>
      <c r="AK24" s="220" t="s">
        <v>185</v>
      </c>
      <c r="AL24" s="220">
        <v>8800</v>
      </c>
      <c r="AM24" s="221" t="s">
        <v>99</v>
      </c>
      <c r="AN24" s="40">
        <v>82967</v>
      </c>
      <c r="AO24" s="41" t="s">
        <v>304</v>
      </c>
      <c r="AP24" s="41" t="s">
        <v>307</v>
      </c>
      <c r="AQ24" s="27">
        <v>3000</v>
      </c>
      <c r="AR24" s="27" t="s">
        <v>94</v>
      </c>
      <c r="AS24" s="27">
        <v>1500</v>
      </c>
      <c r="AT24" s="29">
        <v>41</v>
      </c>
      <c r="AU24" s="29" t="s">
        <v>100</v>
      </c>
      <c r="AV24" s="31">
        <v>42</v>
      </c>
      <c r="AW24" s="31" t="s">
        <v>100</v>
      </c>
      <c r="AX24" s="42">
        <v>16000</v>
      </c>
      <c r="AY24" s="43" t="s">
        <v>100</v>
      </c>
      <c r="AZ24" s="43" t="s">
        <v>270</v>
      </c>
      <c r="BA24" s="32" t="s">
        <v>94</v>
      </c>
      <c r="BB24" s="32">
        <v>500</v>
      </c>
      <c r="BC24" s="44" t="s">
        <v>102</v>
      </c>
      <c r="BD24" s="33" t="s">
        <v>103</v>
      </c>
      <c r="BE24" s="271" t="s">
        <v>104</v>
      </c>
      <c r="BF24" s="271" t="s">
        <v>105</v>
      </c>
      <c r="BG24" s="269">
        <v>0</v>
      </c>
      <c r="BH24" s="42">
        <v>36500</v>
      </c>
      <c r="BI24" s="47" t="s">
        <v>100</v>
      </c>
      <c r="BJ24" s="32" t="s">
        <v>101</v>
      </c>
      <c r="BK24" s="32" t="s">
        <v>100</v>
      </c>
      <c r="BL24" s="26" t="s">
        <v>106</v>
      </c>
      <c r="BM24" s="26" t="s">
        <v>107</v>
      </c>
      <c r="BN24" s="209">
        <v>0</v>
      </c>
      <c r="BO24" s="26" t="s">
        <v>108</v>
      </c>
      <c r="BP24" s="34" t="s">
        <v>109</v>
      </c>
      <c r="BQ24" s="209">
        <v>4000</v>
      </c>
      <c r="BR24" s="26" t="s">
        <v>108</v>
      </c>
      <c r="BS24" s="34" t="s">
        <v>110</v>
      </c>
      <c r="BT24" s="209">
        <v>5500</v>
      </c>
      <c r="BU24" s="211">
        <v>11000</v>
      </c>
      <c r="BV24" s="212" t="s">
        <v>100</v>
      </c>
      <c r="BW24" s="212" t="s">
        <v>286</v>
      </c>
      <c r="BX24" s="213" t="s">
        <v>100</v>
      </c>
      <c r="BY24" s="213" t="s">
        <v>100</v>
      </c>
      <c r="BZ24" s="45">
        <v>2000</v>
      </c>
    </row>
    <row r="25" spans="1:78" ht="26.25" thickBot="1">
      <c r="A25" s="118" t="s">
        <v>135</v>
      </c>
      <c r="B25" s="120" t="s">
        <v>175</v>
      </c>
      <c r="C25" s="5"/>
      <c r="D25" s="296"/>
      <c r="E25" s="299"/>
      <c r="F25" s="345"/>
      <c r="G25" s="110">
        <v>3125</v>
      </c>
      <c r="H25" s="56">
        <v>2500</v>
      </c>
      <c r="I25" s="56">
        <v>6000</v>
      </c>
      <c r="J25" s="56">
        <v>6000</v>
      </c>
      <c r="K25" s="56">
        <v>50</v>
      </c>
      <c r="L25" s="56">
        <v>305</v>
      </c>
      <c r="M25" s="105" t="s">
        <v>241</v>
      </c>
      <c r="N25" s="57">
        <v>593463</v>
      </c>
      <c r="O25" s="56" t="s">
        <v>89</v>
      </c>
      <c r="P25" s="56">
        <v>5</v>
      </c>
      <c r="Q25" s="58" t="s">
        <v>90</v>
      </c>
      <c r="R25" s="58" t="s">
        <v>91</v>
      </c>
      <c r="S25" s="58" t="s">
        <v>91</v>
      </c>
      <c r="T25" s="59" t="s">
        <v>92</v>
      </c>
      <c r="U25" s="59" t="s">
        <v>93</v>
      </c>
      <c r="V25" s="56" t="s">
        <v>99</v>
      </c>
      <c r="W25" s="56">
        <v>31</v>
      </c>
      <c r="X25" s="60" t="s">
        <v>95</v>
      </c>
      <c r="Y25" s="60" t="s">
        <v>96</v>
      </c>
      <c r="Z25" s="106">
        <v>25000</v>
      </c>
      <c r="AA25" s="105" t="s">
        <v>147</v>
      </c>
      <c r="AB25" s="107">
        <v>10900</v>
      </c>
      <c r="AC25" s="111" t="s">
        <v>145</v>
      </c>
      <c r="AD25" s="112" t="s">
        <v>146</v>
      </c>
      <c r="AE25" s="35"/>
      <c r="AF25" s="37">
        <v>563881</v>
      </c>
      <c r="AG25" s="29" t="s">
        <v>98</v>
      </c>
      <c r="AH25" s="228">
        <v>47477</v>
      </c>
      <c r="AI25" s="229" t="s">
        <v>296</v>
      </c>
      <c r="AJ25" s="230">
        <v>25000</v>
      </c>
      <c r="AK25" s="230" t="s">
        <v>147</v>
      </c>
      <c r="AL25" s="230">
        <v>11200</v>
      </c>
      <c r="AM25" s="231" t="s">
        <v>99</v>
      </c>
      <c r="AN25" s="40">
        <v>97922</v>
      </c>
      <c r="AO25" s="41" t="s">
        <v>304</v>
      </c>
      <c r="AP25" s="41" t="s">
        <v>307</v>
      </c>
      <c r="AQ25" s="27">
        <v>3000</v>
      </c>
      <c r="AR25" s="27" t="s">
        <v>94</v>
      </c>
      <c r="AS25" s="27">
        <v>1500</v>
      </c>
      <c r="AT25" s="29">
        <v>41</v>
      </c>
      <c r="AU25" s="29" t="s">
        <v>100</v>
      </c>
      <c r="AV25" s="31">
        <v>42</v>
      </c>
      <c r="AW25" s="31" t="s">
        <v>100</v>
      </c>
      <c r="AX25" s="347" t="s">
        <v>271</v>
      </c>
      <c r="AY25" s="348"/>
      <c r="AZ25" s="348"/>
      <c r="BA25" s="348"/>
      <c r="BB25" s="349"/>
      <c r="BC25" s="44" t="s">
        <v>102</v>
      </c>
      <c r="BD25" s="33" t="s">
        <v>103</v>
      </c>
      <c r="BE25" s="271" t="s">
        <v>104</v>
      </c>
      <c r="BF25" s="271" t="s">
        <v>105</v>
      </c>
      <c r="BG25" s="269">
        <v>0</v>
      </c>
      <c r="BH25" s="42">
        <v>41000</v>
      </c>
      <c r="BI25" s="47" t="s">
        <v>100</v>
      </c>
      <c r="BJ25" s="32" t="s">
        <v>101</v>
      </c>
      <c r="BK25" s="32" t="s">
        <v>100</v>
      </c>
      <c r="BL25" s="26" t="s">
        <v>106</v>
      </c>
      <c r="BM25" s="26" t="s">
        <v>107</v>
      </c>
      <c r="BN25" s="209">
        <v>0</v>
      </c>
      <c r="BO25" s="26" t="s">
        <v>108</v>
      </c>
      <c r="BP25" s="34" t="s">
        <v>109</v>
      </c>
      <c r="BQ25" s="209">
        <v>4000</v>
      </c>
      <c r="BR25" s="26" t="s">
        <v>108</v>
      </c>
      <c r="BS25" s="34" t="s">
        <v>110</v>
      </c>
      <c r="BT25" s="209">
        <v>5500</v>
      </c>
      <c r="BU25" s="211">
        <v>11000</v>
      </c>
      <c r="BV25" s="212" t="s">
        <v>100</v>
      </c>
      <c r="BW25" s="212" t="s">
        <v>286</v>
      </c>
      <c r="BX25" s="213" t="s">
        <v>100</v>
      </c>
      <c r="BY25" s="213" t="s">
        <v>100</v>
      </c>
      <c r="BZ25" s="45">
        <v>2000</v>
      </c>
    </row>
    <row r="26" spans="1:78" ht="26.25" thickBot="1">
      <c r="A26" s="118" t="s">
        <v>136</v>
      </c>
      <c r="B26" s="121" t="s">
        <v>176</v>
      </c>
      <c r="C26" s="5"/>
      <c r="D26" s="296"/>
      <c r="E26" s="299"/>
      <c r="F26" s="345"/>
      <c r="G26" s="110">
        <v>3940</v>
      </c>
      <c r="H26" s="56">
        <v>3150</v>
      </c>
      <c r="I26" s="56">
        <v>6000</v>
      </c>
      <c r="J26" s="56">
        <v>6000</v>
      </c>
      <c r="K26" s="56">
        <v>50</v>
      </c>
      <c r="L26" s="56">
        <v>380</v>
      </c>
      <c r="M26" s="89" t="s">
        <v>242</v>
      </c>
      <c r="N26" s="57">
        <v>668946</v>
      </c>
      <c r="O26" s="56" t="s">
        <v>89</v>
      </c>
      <c r="P26" s="56">
        <v>5</v>
      </c>
      <c r="Q26" s="58" t="s">
        <v>90</v>
      </c>
      <c r="R26" s="58" t="s">
        <v>91</v>
      </c>
      <c r="S26" s="58" t="s">
        <v>91</v>
      </c>
      <c r="T26" s="59" t="s">
        <v>92</v>
      </c>
      <c r="U26" s="59" t="s">
        <v>93</v>
      </c>
      <c r="V26" s="56" t="s">
        <v>99</v>
      </c>
      <c r="W26" s="56">
        <v>31</v>
      </c>
      <c r="X26" s="60" t="s">
        <v>95</v>
      </c>
      <c r="Y26" s="60" t="s">
        <v>96</v>
      </c>
      <c r="Z26" s="90">
        <v>36000</v>
      </c>
      <c r="AA26" s="89" t="s">
        <v>148</v>
      </c>
      <c r="AB26" s="91">
        <v>12900</v>
      </c>
      <c r="AC26" s="111" t="s">
        <v>145</v>
      </c>
      <c r="AD26" s="112" t="s">
        <v>146</v>
      </c>
      <c r="AE26" s="35"/>
      <c r="AF26" s="37">
        <v>623339</v>
      </c>
      <c r="AG26" s="29" t="s">
        <v>98</v>
      </c>
      <c r="AH26" s="228">
        <v>53516</v>
      </c>
      <c r="AI26" s="229" t="s">
        <v>297</v>
      </c>
      <c r="AJ26" s="230">
        <v>36000</v>
      </c>
      <c r="AK26" s="230" t="s">
        <v>148</v>
      </c>
      <c r="AL26" s="230">
        <v>13200</v>
      </c>
      <c r="AM26" s="231" t="s">
        <v>99</v>
      </c>
      <c r="AN26" s="235">
        <v>97922</v>
      </c>
      <c r="AO26" s="236" t="s">
        <v>304</v>
      </c>
      <c r="AP26" s="236" t="s">
        <v>307</v>
      </c>
      <c r="AQ26" s="237">
        <v>3000</v>
      </c>
      <c r="AR26" s="237" t="s">
        <v>94</v>
      </c>
      <c r="AS26" s="237">
        <v>1500</v>
      </c>
      <c r="AT26" s="29">
        <v>41</v>
      </c>
      <c r="AU26" s="29" t="s">
        <v>100</v>
      </c>
      <c r="AV26" s="31">
        <v>42</v>
      </c>
      <c r="AW26" s="31" t="s">
        <v>100</v>
      </c>
      <c r="AX26" s="347" t="s">
        <v>271</v>
      </c>
      <c r="AY26" s="348"/>
      <c r="AZ26" s="348"/>
      <c r="BA26" s="348"/>
      <c r="BB26" s="349"/>
      <c r="BC26" s="44" t="s">
        <v>102</v>
      </c>
      <c r="BD26" s="33" t="s">
        <v>103</v>
      </c>
      <c r="BE26" s="271" t="s">
        <v>104</v>
      </c>
      <c r="BF26" s="271" t="s">
        <v>105</v>
      </c>
      <c r="BG26" s="269">
        <v>0</v>
      </c>
      <c r="BH26" s="42">
        <v>49600</v>
      </c>
      <c r="BI26" s="47" t="s">
        <v>100</v>
      </c>
      <c r="BJ26" s="32" t="s">
        <v>101</v>
      </c>
      <c r="BK26" s="32" t="s">
        <v>100</v>
      </c>
      <c r="BL26" s="26" t="s">
        <v>106</v>
      </c>
      <c r="BM26" s="26" t="s">
        <v>107</v>
      </c>
      <c r="BN26" s="209">
        <v>0</v>
      </c>
      <c r="BO26" s="26" t="s">
        <v>108</v>
      </c>
      <c r="BP26" s="34" t="s">
        <v>109</v>
      </c>
      <c r="BQ26" s="209">
        <v>4000</v>
      </c>
      <c r="BR26" s="26" t="s">
        <v>108</v>
      </c>
      <c r="BS26" s="34" t="s">
        <v>110</v>
      </c>
      <c r="BT26" s="209">
        <v>5500</v>
      </c>
      <c r="BU26" s="211">
        <v>11000</v>
      </c>
      <c r="BV26" s="212" t="s">
        <v>100</v>
      </c>
      <c r="BW26" s="212" t="s">
        <v>286</v>
      </c>
      <c r="BX26" s="213" t="s">
        <v>100</v>
      </c>
      <c r="BY26" s="213" t="s">
        <v>100</v>
      </c>
      <c r="BZ26" s="45">
        <v>2000</v>
      </c>
    </row>
    <row r="27" spans="1:78" ht="45.75" customHeight="1" thickBot="1">
      <c r="A27" s="276" t="s">
        <v>287</v>
      </c>
      <c r="B27" s="277" t="s">
        <v>340</v>
      </c>
      <c r="C27" s="5"/>
      <c r="D27" s="296"/>
      <c r="E27" s="299"/>
      <c r="F27" s="345"/>
      <c r="G27" s="110">
        <v>5000</v>
      </c>
      <c r="H27" s="56">
        <v>4000</v>
      </c>
      <c r="I27" s="56">
        <v>6000</v>
      </c>
      <c r="J27" s="56">
        <v>6000</v>
      </c>
      <c r="K27" s="56">
        <v>50</v>
      </c>
      <c r="L27" s="56">
        <v>480</v>
      </c>
      <c r="M27" s="105" t="s">
        <v>243</v>
      </c>
      <c r="N27" s="57">
        <v>895023</v>
      </c>
      <c r="O27" s="56" t="s">
        <v>89</v>
      </c>
      <c r="P27" s="56">
        <v>5</v>
      </c>
      <c r="Q27" s="58" t="s">
        <v>90</v>
      </c>
      <c r="R27" s="58" t="s">
        <v>91</v>
      </c>
      <c r="S27" s="58" t="s">
        <v>91</v>
      </c>
      <c r="T27" s="59" t="s">
        <v>92</v>
      </c>
      <c r="U27" s="59" t="s">
        <v>93</v>
      </c>
      <c r="V27" s="56" t="s">
        <v>99</v>
      </c>
      <c r="W27" s="56">
        <v>31</v>
      </c>
      <c r="X27" s="60" t="s">
        <v>95</v>
      </c>
      <c r="Y27" s="60" t="s">
        <v>96</v>
      </c>
      <c r="Z27" s="106">
        <v>42000</v>
      </c>
      <c r="AA27" s="105" t="s">
        <v>149</v>
      </c>
      <c r="AB27" s="107">
        <v>14350</v>
      </c>
      <c r="AC27" s="111" t="s">
        <v>145</v>
      </c>
      <c r="AD27" s="112" t="s">
        <v>151</v>
      </c>
      <c r="AE27" s="35"/>
      <c r="AF27" s="37">
        <v>833813</v>
      </c>
      <c r="AG27" s="29" t="s">
        <v>98</v>
      </c>
      <c r="AH27" s="228">
        <v>71602</v>
      </c>
      <c r="AI27" s="229" t="s">
        <v>298</v>
      </c>
      <c r="AJ27" s="230">
        <v>42000</v>
      </c>
      <c r="AK27" s="230" t="s">
        <v>149</v>
      </c>
      <c r="AL27" s="230">
        <v>14550</v>
      </c>
      <c r="AM27" s="231" t="s">
        <v>99</v>
      </c>
      <c r="AN27" s="232">
        <v>110115</v>
      </c>
      <c r="AO27" s="233" t="s">
        <v>305</v>
      </c>
      <c r="AP27" s="233" t="s">
        <v>308</v>
      </c>
      <c r="AQ27" s="234">
        <v>4000</v>
      </c>
      <c r="AR27" s="234" t="s">
        <v>94</v>
      </c>
      <c r="AS27" s="234">
        <v>2500</v>
      </c>
      <c r="AT27" s="29">
        <v>41</v>
      </c>
      <c r="AU27" s="29" t="s">
        <v>100</v>
      </c>
      <c r="AV27" s="31">
        <v>42</v>
      </c>
      <c r="AW27" s="31" t="s">
        <v>100</v>
      </c>
      <c r="AX27" s="339" t="s">
        <v>272</v>
      </c>
      <c r="AY27" s="340"/>
      <c r="AZ27" s="340"/>
      <c r="BA27" s="340"/>
      <c r="BB27" s="341"/>
      <c r="BC27" s="44" t="s">
        <v>102</v>
      </c>
      <c r="BD27" s="33" t="s">
        <v>103</v>
      </c>
      <c r="BE27" s="271" t="s">
        <v>104</v>
      </c>
      <c r="BF27" s="271" t="s">
        <v>105</v>
      </c>
      <c r="BG27" s="269">
        <v>0</v>
      </c>
      <c r="BH27" s="333" t="s">
        <v>150</v>
      </c>
      <c r="BI27" s="334"/>
      <c r="BJ27" s="334"/>
      <c r="BK27" s="335"/>
      <c r="BL27" s="26" t="s">
        <v>106</v>
      </c>
      <c r="BM27" s="26" t="s">
        <v>107</v>
      </c>
      <c r="BN27" s="209">
        <v>0</v>
      </c>
      <c r="BO27" s="26" t="s">
        <v>108</v>
      </c>
      <c r="BP27" s="34" t="s">
        <v>109</v>
      </c>
      <c r="BQ27" s="209">
        <v>4000</v>
      </c>
      <c r="BR27" s="26" t="s">
        <v>108</v>
      </c>
      <c r="BS27" s="34" t="s">
        <v>110</v>
      </c>
      <c r="BT27" s="209">
        <v>5500</v>
      </c>
      <c r="BU27" s="211">
        <v>11000</v>
      </c>
      <c r="BV27" s="212" t="s">
        <v>100</v>
      </c>
      <c r="BW27" s="212" t="s">
        <v>286</v>
      </c>
      <c r="BX27" s="213" t="s">
        <v>100</v>
      </c>
      <c r="BY27" s="213" t="s">
        <v>100</v>
      </c>
      <c r="BZ27" s="45">
        <v>2000</v>
      </c>
    </row>
    <row r="28" spans="1:78" ht="39" thickBot="1">
      <c r="A28" s="278" t="s">
        <v>341</v>
      </c>
      <c r="B28" s="279" t="s">
        <v>342</v>
      </c>
      <c r="C28" s="5"/>
      <c r="D28" s="296"/>
      <c r="E28" s="299"/>
      <c r="F28" s="345"/>
      <c r="G28" s="110">
        <v>6250</v>
      </c>
      <c r="H28" s="56">
        <v>5000</v>
      </c>
      <c r="I28" s="56">
        <v>6000</v>
      </c>
      <c r="J28" s="56">
        <v>6000</v>
      </c>
      <c r="K28" s="56">
        <v>50</v>
      </c>
      <c r="L28" s="56">
        <v>600</v>
      </c>
      <c r="M28" s="89" t="s">
        <v>244</v>
      </c>
      <c r="N28" s="57">
        <v>1305000</v>
      </c>
      <c r="O28" s="56" t="s">
        <v>89</v>
      </c>
      <c r="P28" s="56">
        <v>5</v>
      </c>
      <c r="Q28" s="58" t="s">
        <v>90</v>
      </c>
      <c r="R28" s="58" t="s">
        <v>91</v>
      </c>
      <c r="S28" s="58" t="s">
        <v>91</v>
      </c>
      <c r="T28" s="59" t="s">
        <v>92</v>
      </c>
      <c r="U28" s="59" t="s">
        <v>93</v>
      </c>
      <c r="V28" s="56" t="s">
        <v>99</v>
      </c>
      <c r="W28" s="56">
        <v>31</v>
      </c>
      <c r="X28" s="60" t="s">
        <v>95</v>
      </c>
      <c r="Y28" s="60" t="s">
        <v>96</v>
      </c>
      <c r="Z28" s="90">
        <v>47000</v>
      </c>
      <c r="AA28" s="89" t="s">
        <v>269</v>
      </c>
      <c r="AB28" s="91">
        <v>20100</v>
      </c>
      <c r="AC28" s="111" t="s">
        <v>145</v>
      </c>
      <c r="AD28" s="112" t="s">
        <v>151</v>
      </c>
      <c r="AE28" s="35"/>
      <c r="AF28" s="37">
        <v>1208500</v>
      </c>
      <c r="AG28" s="29" t="s">
        <v>98</v>
      </c>
      <c r="AH28" s="228">
        <v>104400</v>
      </c>
      <c r="AI28" s="229" t="s">
        <v>299</v>
      </c>
      <c r="AJ28" s="230">
        <v>47000</v>
      </c>
      <c r="AK28" s="230" t="s">
        <v>269</v>
      </c>
      <c r="AL28" s="230">
        <v>20300</v>
      </c>
      <c r="AM28" s="231" t="s">
        <v>99</v>
      </c>
      <c r="AN28" s="40">
        <v>131950</v>
      </c>
      <c r="AO28" s="41" t="s">
        <v>305</v>
      </c>
      <c r="AP28" s="41" t="s">
        <v>308</v>
      </c>
      <c r="AQ28" s="27">
        <v>4000</v>
      </c>
      <c r="AR28" s="27" t="s">
        <v>94</v>
      </c>
      <c r="AS28" s="27">
        <v>2500</v>
      </c>
      <c r="AT28" s="29">
        <v>41</v>
      </c>
      <c r="AU28" s="29" t="s">
        <v>100</v>
      </c>
      <c r="AV28" s="31">
        <v>42</v>
      </c>
      <c r="AW28" s="31" t="s">
        <v>100</v>
      </c>
      <c r="AX28" s="339" t="s">
        <v>272</v>
      </c>
      <c r="AY28" s="340"/>
      <c r="AZ28" s="340"/>
      <c r="BA28" s="340"/>
      <c r="BB28" s="341"/>
      <c r="BC28" s="44" t="s">
        <v>102</v>
      </c>
      <c r="BD28" s="33" t="s">
        <v>103</v>
      </c>
      <c r="BE28" s="271" t="s">
        <v>104</v>
      </c>
      <c r="BF28" s="271" t="s">
        <v>105</v>
      </c>
      <c r="BG28" s="269">
        <v>0</v>
      </c>
      <c r="BH28" s="333" t="s">
        <v>150</v>
      </c>
      <c r="BI28" s="334"/>
      <c r="BJ28" s="334"/>
      <c r="BK28" s="335"/>
      <c r="BL28" s="26" t="s">
        <v>106</v>
      </c>
      <c r="BM28" s="26" t="s">
        <v>107</v>
      </c>
      <c r="BN28" s="209">
        <v>0</v>
      </c>
      <c r="BO28" s="26" t="s">
        <v>108</v>
      </c>
      <c r="BP28" s="34" t="s">
        <v>109</v>
      </c>
      <c r="BQ28" s="209">
        <v>4000</v>
      </c>
      <c r="BR28" s="26" t="s">
        <v>108</v>
      </c>
      <c r="BS28" s="34" t="s">
        <v>110</v>
      </c>
      <c r="BT28" s="209">
        <v>5500</v>
      </c>
      <c r="BU28" s="211">
        <v>11000</v>
      </c>
      <c r="BV28" s="212" t="s">
        <v>100</v>
      </c>
      <c r="BW28" s="212" t="s">
        <v>286</v>
      </c>
      <c r="BX28" s="213" t="s">
        <v>100</v>
      </c>
      <c r="BY28" s="213" t="s">
        <v>100</v>
      </c>
      <c r="BZ28" s="45">
        <v>2000</v>
      </c>
    </row>
    <row r="29" spans="1:78" ht="26.25" thickBot="1">
      <c r="C29" s="5"/>
      <c r="D29" s="297"/>
      <c r="E29" s="343"/>
      <c r="F29" s="346"/>
      <c r="G29" s="110">
        <v>7875</v>
      </c>
      <c r="H29" s="56">
        <v>6300</v>
      </c>
      <c r="I29" s="56">
        <v>6000</v>
      </c>
      <c r="J29" s="56">
        <v>6000</v>
      </c>
      <c r="K29" s="56">
        <v>50</v>
      </c>
      <c r="L29" s="56">
        <v>750</v>
      </c>
      <c r="M29" s="105" t="s">
        <v>245</v>
      </c>
      <c r="N29" s="57">
        <v>1495000</v>
      </c>
      <c r="O29" s="56" t="s">
        <v>89</v>
      </c>
      <c r="P29" s="56">
        <v>5</v>
      </c>
      <c r="Q29" s="58" t="s">
        <v>90</v>
      </c>
      <c r="R29" s="58" t="s">
        <v>91</v>
      </c>
      <c r="S29" s="58" t="s">
        <v>91</v>
      </c>
      <c r="T29" s="59" t="s">
        <v>92</v>
      </c>
      <c r="U29" s="59" t="s">
        <v>93</v>
      </c>
      <c r="V29" s="56" t="s">
        <v>99</v>
      </c>
      <c r="W29" s="56">
        <v>31</v>
      </c>
      <c r="X29" s="60" t="s">
        <v>95</v>
      </c>
      <c r="Y29" s="60" t="s">
        <v>96</v>
      </c>
      <c r="Z29" s="106">
        <v>81000</v>
      </c>
      <c r="AA29" s="105" t="s">
        <v>273</v>
      </c>
      <c r="AB29" s="107">
        <v>21400</v>
      </c>
      <c r="AC29" s="111" t="s">
        <v>145</v>
      </c>
      <c r="AD29" s="112" t="s">
        <v>151</v>
      </c>
      <c r="AE29" s="35"/>
      <c r="AF29" s="37">
        <v>1384600</v>
      </c>
      <c r="AG29" s="29" t="s">
        <v>98</v>
      </c>
      <c r="AH29" s="228">
        <v>119600</v>
      </c>
      <c r="AI29" s="229" t="s">
        <v>300</v>
      </c>
      <c r="AJ29" s="230">
        <v>81000</v>
      </c>
      <c r="AK29" s="230" t="s">
        <v>273</v>
      </c>
      <c r="AL29" s="230">
        <v>23085</v>
      </c>
      <c r="AM29" s="231" t="s">
        <v>99</v>
      </c>
      <c r="AN29" s="40">
        <v>152880</v>
      </c>
      <c r="AO29" s="41" t="s">
        <v>305</v>
      </c>
      <c r="AP29" s="41" t="s">
        <v>308</v>
      </c>
      <c r="AQ29" s="27">
        <v>4000</v>
      </c>
      <c r="AR29" s="27" t="s">
        <v>94</v>
      </c>
      <c r="AS29" s="27">
        <v>2500</v>
      </c>
      <c r="AT29" s="29">
        <v>41</v>
      </c>
      <c r="AU29" s="29" t="s">
        <v>100</v>
      </c>
      <c r="AV29" s="31">
        <v>42</v>
      </c>
      <c r="AW29" s="31" t="s">
        <v>100</v>
      </c>
      <c r="AX29" s="339" t="s">
        <v>272</v>
      </c>
      <c r="AY29" s="340"/>
      <c r="AZ29" s="340"/>
      <c r="BA29" s="340"/>
      <c r="BB29" s="341"/>
      <c r="BC29" s="44" t="s">
        <v>102</v>
      </c>
      <c r="BD29" s="33" t="s">
        <v>103</v>
      </c>
      <c r="BE29" s="271" t="s">
        <v>104</v>
      </c>
      <c r="BF29" s="271" t="s">
        <v>105</v>
      </c>
      <c r="BG29" s="269">
        <v>0</v>
      </c>
      <c r="BH29" s="333" t="s">
        <v>150</v>
      </c>
      <c r="BI29" s="334"/>
      <c r="BJ29" s="334"/>
      <c r="BK29" s="335"/>
      <c r="BL29" s="26" t="s">
        <v>106</v>
      </c>
      <c r="BM29" s="26" t="s">
        <v>107</v>
      </c>
      <c r="BN29" s="209">
        <v>0</v>
      </c>
      <c r="BO29" s="26" t="s">
        <v>108</v>
      </c>
      <c r="BP29" s="34" t="s">
        <v>109</v>
      </c>
      <c r="BQ29" s="209">
        <v>4000</v>
      </c>
      <c r="BR29" s="26" t="s">
        <v>108</v>
      </c>
      <c r="BS29" s="34" t="s">
        <v>110</v>
      </c>
      <c r="BT29" s="209">
        <v>5500</v>
      </c>
      <c r="BU29" s="211">
        <v>11000</v>
      </c>
      <c r="BV29" s="212" t="s">
        <v>100</v>
      </c>
      <c r="BW29" s="212" t="s">
        <v>286</v>
      </c>
      <c r="BX29" s="213" t="s">
        <v>100</v>
      </c>
      <c r="BY29" s="213" t="s">
        <v>100</v>
      </c>
      <c r="BZ29" s="45">
        <v>2000</v>
      </c>
    </row>
    <row r="30" spans="1:78" ht="13.5" thickBot="1">
      <c r="C30" s="1"/>
      <c r="D30" s="36"/>
      <c r="E30" s="36"/>
      <c r="F30" s="36"/>
      <c r="G30" s="36"/>
      <c r="H30" s="36"/>
      <c r="I30" s="36"/>
      <c r="J30" s="36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36"/>
      <c r="AJ30" s="36"/>
      <c r="AK30" s="1"/>
      <c r="AL30" s="36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13"/>
      <c r="BT30" s="1"/>
      <c r="BZ30" s="36"/>
    </row>
    <row r="31" spans="1:78" ht="25.5" customHeight="1">
      <c r="C31" s="1"/>
      <c r="D31" s="295">
        <v>2</v>
      </c>
      <c r="E31" s="342" t="s">
        <v>347</v>
      </c>
      <c r="F31" s="344" t="s">
        <v>346</v>
      </c>
      <c r="G31" s="67">
        <v>250</v>
      </c>
      <c r="H31" s="68">
        <v>200</v>
      </c>
      <c r="I31" s="68">
        <v>6000</v>
      </c>
      <c r="J31" s="68">
        <v>6000</v>
      </c>
      <c r="K31" s="68">
        <v>50</v>
      </c>
      <c r="L31" s="68">
        <v>25</v>
      </c>
      <c r="M31" s="83" t="s">
        <v>235</v>
      </c>
      <c r="N31" s="196">
        <f>N5+13374</f>
        <v>189241</v>
      </c>
      <c r="O31" s="68" t="s">
        <v>89</v>
      </c>
      <c r="P31" s="68">
        <v>6</v>
      </c>
      <c r="Q31" s="70" t="s">
        <v>90</v>
      </c>
      <c r="R31" s="70" t="s">
        <v>91</v>
      </c>
      <c r="S31" s="70" t="s">
        <v>91</v>
      </c>
      <c r="T31" s="71" t="s">
        <v>92</v>
      </c>
      <c r="U31" s="71" t="s">
        <v>93</v>
      </c>
      <c r="V31" s="68" t="s">
        <v>94</v>
      </c>
      <c r="W31" s="68">
        <v>31</v>
      </c>
      <c r="X31" s="72" t="s">
        <v>95</v>
      </c>
      <c r="Y31" s="72" t="s">
        <v>96</v>
      </c>
      <c r="Z31" s="86">
        <v>12000</v>
      </c>
      <c r="AA31" s="83" t="s">
        <v>129</v>
      </c>
      <c r="AB31" s="86">
        <v>3850</v>
      </c>
      <c r="AC31" s="68" t="s">
        <v>97</v>
      </c>
      <c r="AD31" s="73" t="s">
        <v>97</v>
      </c>
      <c r="AE31" s="28"/>
      <c r="AF31" s="37">
        <f>AF5+13374</f>
        <v>180546</v>
      </c>
      <c r="AG31" s="29" t="s">
        <v>98</v>
      </c>
      <c r="AH31" s="38">
        <v>14069</v>
      </c>
      <c r="AI31" s="243" t="s">
        <v>292</v>
      </c>
      <c r="AJ31" s="39">
        <v>12000</v>
      </c>
      <c r="AK31" s="39" t="s">
        <v>301</v>
      </c>
      <c r="AL31" s="39">
        <v>3900</v>
      </c>
      <c r="AM31" s="30" t="s">
        <v>99</v>
      </c>
      <c r="AN31" s="40">
        <v>55309</v>
      </c>
      <c r="AO31" s="41" t="s">
        <v>303</v>
      </c>
      <c r="AP31" s="41" t="s">
        <v>306</v>
      </c>
      <c r="AQ31" s="27">
        <v>3000</v>
      </c>
      <c r="AR31" s="27" t="s">
        <v>94</v>
      </c>
      <c r="AS31" s="27">
        <v>900</v>
      </c>
      <c r="AT31" s="29">
        <v>41</v>
      </c>
      <c r="AU31" s="29" t="s">
        <v>100</v>
      </c>
      <c r="AV31" s="31">
        <v>42</v>
      </c>
      <c r="AW31" s="31" t="s">
        <v>100</v>
      </c>
      <c r="AX31" s="42">
        <v>16000</v>
      </c>
      <c r="AY31" s="43" t="s">
        <v>100</v>
      </c>
      <c r="AZ31" s="43" t="s">
        <v>270</v>
      </c>
      <c r="BA31" s="32" t="s">
        <v>94</v>
      </c>
      <c r="BB31" s="32">
        <v>500</v>
      </c>
      <c r="BC31" s="44" t="s">
        <v>102</v>
      </c>
      <c r="BD31" s="33" t="s">
        <v>103</v>
      </c>
      <c r="BE31" s="271" t="s">
        <v>104</v>
      </c>
      <c r="BF31" s="271" t="s">
        <v>105</v>
      </c>
      <c r="BG31" s="269">
        <v>0</v>
      </c>
      <c r="BH31" s="42">
        <v>30000</v>
      </c>
      <c r="BI31" s="47" t="s">
        <v>100</v>
      </c>
      <c r="BJ31" s="32" t="s">
        <v>309</v>
      </c>
      <c r="BK31" s="32">
        <v>500</v>
      </c>
      <c r="BL31" s="26" t="s">
        <v>106</v>
      </c>
      <c r="BM31" s="26" t="s">
        <v>107</v>
      </c>
      <c r="BN31" s="209">
        <v>0</v>
      </c>
      <c r="BO31" s="26" t="s">
        <v>108</v>
      </c>
      <c r="BP31" s="34" t="s">
        <v>109</v>
      </c>
      <c r="BQ31" s="209">
        <v>4000</v>
      </c>
      <c r="BR31" s="26" t="s">
        <v>108</v>
      </c>
      <c r="BS31" s="34" t="s">
        <v>110</v>
      </c>
      <c r="BT31" s="209">
        <v>5500</v>
      </c>
      <c r="BU31" s="211">
        <v>11000</v>
      </c>
      <c r="BV31" s="212" t="s">
        <v>100</v>
      </c>
      <c r="BW31" s="212" t="s">
        <v>286</v>
      </c>
      <c r="BX31" s="213" t="s">
        <v>100</v>
      </c>
      <c r="BY31" s="213" t="s">
        <v>100</v>
      </c>
      <c r="BZ31" s="45">
        <v>2000</v>
      </c>
    </row>
    <row r="32" spans="1:78" ht="25.5">
      <c r="A32" s="113"/>
      <c r="B32" s="122" t="s">
        <v>121</v>
      </c>
      <c r="C32" s="1"/>
      <c r="D32" s="296"/>
      <c r="E32" s="299"/>
      <c r="F32" s="345"/>
      <c r="G32" s="74">
        <v>275</v>
      </c>
      <c r="H32" s="62">
        <v>220</v>
      </c>
      <c r="I32" s="62">
        <v>6000</v>
      </c>
      <c r="J32" s="62">
        <v>6000</v>
      </c>
      <c r="K32" s="62">
        <v>50</v>
      </c>
      <c r="L32" s="62">
        <v>28</v>
      </c>
      <c r="M32" s="84" t="s">
        <v>235</v>
      </c>
      <c r="N32" s="197">
        <f>N6+13491</f>
        <v>190263</v>
      </c>
      <c r="O32" s="62" t="s">
        <v>89</v>
      </c>
      <c r="P32" s="62">
        <v>6</v>
      </c>
      <c r="Q32" s="64" t="s">
        <v>90</v>
      </c>
      <c r="R32" s="64" t="s">
        <v>91</v>
      </c>
      <c r="S32" s="64" t="s">
        <v>91</v>
      </c>
      <c r="T32" s="65" t="s">
        <v>92</v>
      </c>
      <c r="U32" s="65" t="s">
        <v>93</v>
      </c>
      <c r="V32" s="62" t="s">
        <v>94</v>
      </c>
      <c r="W32" s="62">
        <v>31</v>
      </c>
      <c r="X32" s="66" t="s">
        <v>95</v>
      </c>
      <c r="Y32" s="66" t="s">
        <v>96</v>
      </c>
      <c r="Z32" s="87">
        <v>12000</v>
      </c>
      <c r="AA32" s="84" t="s">
        <v>129</v>
      </c>
      <c r="AB32" s="87">
        <v>3850</v>
      </c>
      <c r="AC32" s="62" t="s">
        <v>97</v>
      </c>
      <c r="AD32" s="75" t="s">
        <v>97</v>
      </c>
      <c r="AE32" s="35"/>
      <c r="AF32" s="37">
        <f>AF6+13491</f>
        <v>182128</v>
      </c>
      <c r="AG32" s="29" t="s">
        <v>98</v>
      </c>
      <c r="AH32" s="38">
        <v>14142</v>
      </c>
      <c r="AI32" s="243" t="s">
        <v>292</v>
      </c>
      <c r="AJ32" s="39">
        <v>12000</v>
      </c>
      <c r="AK32" s="39" t="s">
        <v>301</v>
      </c>
      <c r="AL32" s="39">
        <v>3900</v>
      </c>
      <c r="AM32" s="30" t="s">
        <v>99</v>
      </c>
      <c r="AN32" s="40">
        <v>55309</v>
      </c>
      <c r="AO32" s="41" t="s">
        <v>303</v>
      </c>
      <c r="AP32" s="41" t="s">
        <v>306</v>
      </c>
      <c r="AQ32" s="27">
        <v>3000</v>
      </c>
      <c r="AR32" s="27" t="s">
        <v>94</v>
      </c>
      <c r="AS32" s="27">
        <v>900</v>
      </c>
      <c r="AT32" s="29">
        <v>41</v>
      </c>
      <c r="AU32" s="29" t="s">
        <v>100</v>
      </c>
      <c r="AV32" s="31">
        <v>42</v>
      </c>
      <c r="AW32" s="31" t="s">
        <v>100</v>
      </c>
      <c r="AX32" s="42">
        <v>16000</v>
      </c>
      <c r="AY32" s="43" t="s">
        <v>100</v>
      </c>
      <c r="AZ32" s="43" t="s">
        <v>270</v>
      </c>
      <c r="BA32" s="32" t="s">
        <v>94</v>
      </c>
      <c r="BB32" s="32">
        <v>500</v>
      </c>
      <c r="BC32" s="44" t="s">
        <v>102</v>
      </c>
      <c r="BD32" s="33" t="s">
        <v>103</v>
      </c>
      <c r="BE32" s="271" t="s">
        <v>104</v>
      </c>
      <c r="BF32" s="271" t="s">
        <v>105</v>
      </c>
      <c r="BG32" s="269">
        <v>0</v>
      </c>
      <c r="BH32" s="42">
        <v>30000</v>
      </c>
      <c r="BI32" s="47" t="s">
        <v>100</v>
      </c>
      <c r="BJ32" s="32" t="s">
        <v>309</v>
      </c>
      <c r="BK32" s="32">
        <v>500</v>
      </c>
      <c r="BL32" s="26" t="s">
        <v>106</v>
      </c>
      <c r="BM32" s="26" t="s">
        <v>107</v>
      </c>
      <c r="BN32" s="209">
        <v>0</v>
      </c>
      <c r="BO32" s="26" t="s">
        <v>108</v>
      </c>
      <c r="BP32" s="34" t="s">
        <v>109</v>
      </c>
      <c r="BQ32" s="209">
        <v>4000</v>
      </c>
      <c r="BR32" s="26" t="s">
        <v>108</v>
      </c>
      <c r="BS32" s="34" t="s">
        <v>110</v>
      </c>
      <c r="BT32" s="209">
        <v>5500</v>
      </c>
      <c r="BU32" s="211">
        <v>11000</v>
      </c>
      <c r="BV32" s="212" t="s">
        <v>100</v>
      </c>
      <c r="BW32" s="212" t="s">
        <v>286</v>
      </c>
      <c r="BX32" s="213" t="s">
        <v>100</v>
      </c>
      <c r="BY32" s="213" t="s">
        <v>100</v>
      </c>
      <c r="BZ32" s="45">
        <v>2000</v>
      </c>
    </row>
    <row r="33" spans="1:78" ht="26.25" thickBot="1">
      <c r="A33" s="113"/>
      <c r="C33" s="1"/>
      <c r="D33" s="296"/>
      <c r="E33" s="299"/>
      <c r="F33" s="345"/>
      <c r="G33" s="74">
        <v>315</v>
      </c>
      <c r="H33" s="62">
        <v>250</v>
      </c>
      <c r="I33" s="62">
        <v>6000</v>
      </c>
      <c r="J33" s="62">
        <v>6000</v>
      </c>
      <c r="K33" s="62">
        <v>50</v>
      </c>
      <c r="L33" s="62">
        <v>32</v>
      </c>
      <c r="M33" s="84" t="s">
        <v>235</v>
      </c>
      <c r="N33" s="197">
        <f>N7+13845</f>
        <v>196167</v>
      </c>
      <c r="O33" s="62" t="s">
        <v>89</v>
      </c>
      <c r="P33" s="62">
        <v>6</v>
      </c>
      <c r="Q33" s="64" t="s">
        <v>90</v>
      </c>
      <c r="R33" s="64" t="s">
        <v>91</v>
      </c>
      <c r="S33" s="64" t="s">
        <v>91</v>
      </c>
      <c r="T33" s="65" t="s">
        <v>92</v>
      </c>
      <c r="U33" s="65" t="s">
        <v>93</v>
      </c>
      <c r="V33" s="62" t="s">
        <v>94</v>
      </c>
      <c r="W33" s="62">
        <v>31</v>
      </c>
      <c r="X33" s="66" t="s">
        <v>95</v>
      </c>
      <c r="Y33" s="66" t="s">
        <v>96</v>
      </c>
      <c r="Z33" s="87">
        <v>12000</v>
      </c>
      <c r="AA33" s="84" t="s">
        <v>129</v>
      </c>
      <c r="AB33" s="87">
        <v>3850</v>
      </c>
      <c r="AC33" s="62" t="s">
        <v>97</v>
      </c>
      <c r="AD33" s="75" t="s">
        <v>97</v>
      </c>
      <c r="AE33" s="35"/>
      <c r="AF33" s="37">
        <f>AF7+13845</f>
        <v>186912</v>
      </c>
      <c r="AG33" s="29" t="s">
        <v>98</v>
      </c>
      <c r="AH33" s="38">
        <v>14586</v>
      </c>
      <c r="AI33" s="243" t="s">
        <v>292</v>
      </c>
      <c r="AJ33" s="39">
        <v>12000</v>
      </c>
      <c r="AK33" s="39" t="s">
        <v>301</v>
      </c>
      <c r="AL33" s="39">
        <v>3900</v>
      </c>
      <c r="AM33" s="30" t="s">
        <v>99</v>
      </c>
      <c r="AN33" s="40">
        <v>55309</v>
      </c>
      <c r="AO33" s="41" t="s">
        <v>303</v>
      </c>
      <c r="AP33" s="41" t="s">
        <v>306</v>
      </c>
      <c r="AQ33" s="27">
        <v>3000</v>
      </c>
      <c r="AR33" s="27" t="s">
        <v>94</v>
      </c>
      <c r="AS33" s="27">
        <v>900</v>
      </c>
      <c r="AT33" s="29">
        <v>41</v>
      </c>
      <c r="AU33" s="29" t="s">
        <v>100</v>
      </c>
      <c r="AV33" s="31">
        <v>42</v>
      </c>
      <c r="AW33" s="31" t="s">
        <v>100</v>
      </c>
      <c r="AX33" s="42">
        <v>16000</v>
      </c>
      <c r="AY33" s="43" t="s">
        <v>100</v>
      </c>
      <c r="AZ33" s="43" t="s">
        <v>270</v>
      </c>
      <c r="BA33" s="32" t="s">
        <v>94</v>
      </c>
      <c r="BB33" s="32">
        <v>500</v>
      </c>
      <c r="BC33" s="44" t="s">
        <v>102</v>
      </c>
      <c r="BD33" s="33" t="s">
        <v>103</v>
      </c>
      <c r="BE33" s="271" t="s">
        <v>104</v>
      </c>
      <c r="BF33" s="271" t="s">
        <v>105</v>
      </c>
      <c r="BG33" s="269">
        <v>0</v>
      </c>
      <c r="BH33" s="42">
        <v>30000</v>
      </c>
      <c r="BI33" s="47" t="s">
        <v>100</v>
      </c>
      <c r="BJ33" s="32" t="s">
        <v>309</v>
      </c>
      <c r="BK33" s="32">
        <v>500</v>
      </c>
      <c r="BL33" s="26" t="s">
        <v>106</v>
      </c>
      <c r="BM33" s="26" t="s">
        <v>107</v>
      </c>
      <c r="BN33" s="209">
        <v>0</v>
      </c>
      <c r="BO33" s="26" t="s">
        <v>108</v>
      </c>
      <c r="BP33" s="34" t="s">
        <v>109</v>
      </c>
      <c r="BQ33" s="209">
        <v>4000</v>
      </c>
      <c r="BR33" s="26" t="s">
        <v>108</v>
      </c>
      <c r="BS33" s="34" t="s">
        <v>110</v>
      </c>
      <c r="BT33" s="209">
        <v>5500</v>
      </c>
      <c r="BU33" s="211">
        <v>11000</v>
      </c>
      <c r="BV33" s="212" t="s">
        <v>100</v>
      </c>
      <c r="BW33" s="212" t="s">
        <v>286</v>
      </c>
      <c r="BX33" s="213" t="s">
        <v>100</v>
      </c>
      <c r="BY33" s="213" t="s">
        <v>100</v>
      </c>
      <c r="BZ33" s="45">
        <v>2000</v>
      </c>
    </row>
    <row r="34" spans="1:78" ht="26.25" thickBot="1">
      <c r="A34" s="129">
        <v>1</v>
      </c>
      <c r="B34" s="128" t="s">
        <v>152</v>
      </c>
      <c r="C34" s="1"/>
      <c r="D34" s="296"/>
      <c r="E34" s="299"/>
      <c r="F34" s="345"/>
      <c r="G34" s="74">
        <v>350</v>
      </c>
      <c r="H34" s="62">
        <v>280</v>
      </c>
      <c r="I34" s="62">
        <v>6000</v>
      </c>
      <c r="J34" s="62">
        <v>6000</v>
      </c>
      <c r="K34" s="62">
        <v>50</v>
      </c>
      <c r="L34" s="62">
        <v>35</v>
      </c>
      <c r="M34" s="84" t="s">
        <v>235</v>
      </c>
      <c r="N34" s="197">
        <f>N8+13924</f>
        <v>197531</v>
      </c>
      <c r="O34" s="62" t="s">
        <v>89</v>
      </c>
      <c r="P34" s="62">
        <v>6</v>
      </c>
      <c r="Q34" s="64" t="s">
        <v>90</v>
      </c>
      <c r="R34" s="64" t="s">
        <v>91</v>
      </c>
      <c r="S34" s="64" t="s">
        <v>91</v>
      </c>
      <c r="T34" s="65" t="s">
        <v>92</v>
      </c>
      <c r="U34" s="65" t="s">
        <v>93</v>
      </c>
      <c r="V34" s="62" t="s">
        <v>94</v>
      </c>
      <c r="W34" s="62">
        <v>31</v>
      </c>
      <c r="X34" s="66" t="s">
        <v>95</v>
      </c>
      <c r="Y34" s="66" t="s">
        <v>96</v>
      </c>
      <c r="Z34" s="87">
        <v>12000</v>
      </c>
      <c r="AA34" s="84" t="s">
        <v>129</v>
      </c>
      <c r="AB34" s="87">
        <v>3850</v>
      </c>
      <c r="AC34" s="62" t="s">
        <v>97</v>
      </c>
      <c r="AD34" s="75" t="s">
        <v>97</v>
      </c>
      <c r="AE34" s="35"/>
      <c r="AF34" s="37">
        <f>AF8+13924</f>
        <v>187974</v>
      </c>
      <c r="AG34" s="29" t="s">
        <v>98</v>
      </c>
      <c r="AH34" s="38">
        <v>14689</v>
      </c>
      <c r="AI34" s="243" t="s">
        <v>292</v>
      </c>
      <c r="AJ34" s="39">
        <v>12000</v>
      </c>
      <c r="AK34" s="39" t="s">
        <v>301</v>
      </c>
      <c r="AL34" s="39">
        <v>3900</v>
      </c>
      <c r="AM34" s="30" t="s">
        <v>99</v>
      </c>
      <c r="AN34" s="40">
        <v>55309</v>
      </c>
      <c r="AO34" s="41" t="s">
        <v>303</v>
      </c>
      <c r="AP34" s="41" t="s">
        <v>306</v>
      </c>
      <c r="AQ34" s="27">
        <v>3000</v>
      </c>
      <c r="AR34" s="27" t="s">
        <v>94</v>
      </c>
      <c r="AS34" s="27">
        <v>900</v>
      </c>
      <c r="AT34" s="29">
        <v>41</v>
      </c>
      <c r="AU34" s="29" t="s">
        <v>100</v>
      </c>
      <c r="AV34" s="31">
        <v>42</v>
      </c>
      <c r="AW34" s="31" t="s">
        <v>100</v>
      </c>
      <c r="AX34" s="42">
        <v>16000</v>
      </c>
      <c r="AY34" s="43" t="s">
        <v>100</v>
      </c>
      <c r="AZ34" s="43" t="s">
        <v>270</v>
      </c>
      <c r="BA34" s="32" t="s">
        <v>94</v>
      </c>
      <c r="BB34" s="32">
        <v>500</v>
      </c>
      <c r="BC34" s="44" t="s">
        <v>102</v>
      </c>
      <c r="BD34" s="33" t="s">
        <v>103</v>
      </c>
      <c r="BE34" s="271" t="s">
        <v>104</v>
      </c>
      <c r="BF34" s="271" t="s">
        <v>105</v>
      </c>
      <c r="BG34" s="269">
        <v>0</v>
      </c>
      <c r="BH34" s="42">
        <v>30000</v>
      </c>
      <c r="BI34" s="47" t="s">
        <v>100</v>
      </c>
      <c r="BJ34" s="32" t="s">
        <v>309</v>
      </c>
      <c r="BK34" s="32">
        <v>500</v>
      </c>
      <c r="BL34" s="26" t="s">
        <v>106</v>
      </c>
      <c r="BM34" s="26" t="s">
        <v>107</v>
      </c>
      <c r="BN34" s="209">
        <v>0</v>
      </c>
      <c r="BO34" s="26" t="s">
        <v>108</v>
      </c>
      <c r="BP34" s="34" t="s">
        <v>109</v>
      </c>
      <c r="BQ34" s="209">
        <v>4000</v>
      </c>
      <c r="BR34" s="26" t="s">
        <v>108</v>
      </c>
      <c r="BS34" s="34" t="s">
        <v>110</v>
      </c>
      <c r="BT34" s="209">
        <v>5500</v>
      </c>
      <c r="BU34" s="211">
        <v>11000</v>
      </c>
      <c r="BV34" s="212" t="s">
        <v>100</v>
      </c>
      <c r="BW34" s="212" t="s">
        <v>286</v>
      </c>
      <c r="BX34" s="213" t="s">
        <v>100</v>
      </c>
      <c r="BY34" s="213" t="s">
        <v>100</v>
      </c>
      <c r="BZ34" s="45">
        <v>2000</v>
      </c>
    </row>
    <row r="35" spans="1:78" ht="26.25" thickBot="1">
      <c r="A35" s="129">
        <v>2</v>
      </c>
      <c r="B35" s="130" t="s">
        <v>153</v>
      </c>
      <c r="C35" s="1"/>
      <c r="D35" s="296"/>
      <c r="E35" s="299"/>
      <c r="F35" s="345"/>
      <c r="G35" s="74">
        <v>395</v>
      </c>
      <c r="H35" s="62">
        <v>315</v>
      </c>
      <c r="I35" s="62">
        <v>6000</v>
      </c>
      <c r="J35" s="62">
        <v>6000</v>
      </c>
      <c r="K35" s="62">
        <v>50</v>
      </c>
      <c r="L35" s="62">
        <v>39</v>
      </c>
      <c r="M35" s="84" t="s">
        <v>235</v>
      </c>
      <c r="N35" s="197">
        <f>N9+14434</f>
        <v>204790</v>
      </c>
      <c r="O35" s="62" t="s">
        <v>89</v>
      </c>
      <c r="P35" s="62">
        <v>6</v>
      </c>
      <c r="Q35" s="64" t="s">
        <v>90</v>
      </c>
      <c r="R35" s="64" t="s">
        <v>91</v>
      </c>
      <c r="S35" s="64" t="s">
        <v>91</v>
      </c>
      <c r="T35" s="65" t="s">
        <v>92</v>
      </c>
      <c r="U35" s="65" t="s">
        <v>93</v>
      </c>
      <c r="V35" s="62" t="s">
        <v>94</v>
      </c>
      <c r="W35" s="62">
        <v>31</v>
      </c>
      <c r="X35" s="66" t="s">
        <v>95</v>
      </c>
      <c r="Y35" s="66" t="s">
        <v>96</v>
      </c>
      <c r="Z35" s="87">
        <v>12000</v>
      </c>
      <c r="AA35" s="84" t="s">
        <v>129</v>
      </c>
      <c r="AB35" s="87">
        <v>3850</v>
      </c>
      <c r="AC35" s="62" t="s">
        <v>97</v>
      </c>
      <c r="AD35" s="75" t="s">
        <v>97</v>
      </c>
      <c r="AE35" s="35"/>
      <c r="AF35" s="37">
        <f>AF9+14434</f>
        <v>194853</v>
      </c>
      <c r="AG35" s="29" t="s">
        <v>98</v>
      </c>
      <c r="AH35" s="38">
        <v>15228</v>
      </c>
      <c r="AI35" s="243" t="s">
        <v>292</v>
      </c>
      <c r="AJ35" s="39">
        <v>12000</v>
      </c>
      <c r="AK35" s="39" t="s">
        <v>301</v>
      </c>
      <c r="AL35" s="39">
        <v>3900</v>
      </c>
      <c r="AM35" s="30" t="s">
        <v>99</v>
      </c>
      <c r="AN35" s="40">
        <v>55309</v>
      </c>
      <c r="AO35" s="41" t="s">
        <v>303</v>
      </c>
      <c r="AP35" s="41" t="s">
        <v>306</v>
      </c>
      <c r="AQ35" s="27">
        <v>3000</v>
      </c>
      <c r="AR35" s="27" t="s">
        <v>94</v>
      </c>
      <c r="AS35" s="27">
        <v>900</v>
      </c>
      <c r="AT35" s="29">
        <v>41</v>
      </c>
      <c r="AU35" s="29" t="s">
        <v>100</v>
      </c>
      <c r="AV35" s="31">
        <v>42</v>
      </c>
      <c r="AW35" s="31" t="s">
        <v>100</v>
      </c>
      <c r="AX35" s="42">
        <v>16000</v>
      </c>
      <c r="AY35" s="43" t="s">
        <v>100</v>
      </c>
      <c r="AZ35" s="43" t="s">
        <v>270</v>
      </c>
      <c r="BA35" s="32" t="s">
        <v>94</v>
      </c>
      <c r="BB35" s="32">
        <v>500</v>
      </c>
      <c r="BC35" s="44" t="s">
        <v>102</v>
      </c>
      <c r="BD35" s="33" t="s">
        <v>103</v>
      </c>
      <c r="BE35" s="271" t="s">
        <v>104</v>
      </c>
      <c r="BF35" s="271" t="s">
        <v>105</v>
      </c>
      <c r="BG35" s="269">
        <v>0</v>
      </c>
      <c r="BH35" s="42">
        <v>30000</v>
      </c>
      <c r="BI35" s="47" t="s">
        <v>100</v>
      </c>
      <c r="BJ35" s="32" t="s">
        <v>309</v>
      </c>
      <c r="BK35" s="32">
        <v>500</v>
      </c>
      <c r="BL35" s="26" t="s">
        <v>106</v>
      </c>
      <c r="BM35" s="26" t="s">
        <v>107</v>
      </c>
      <c r="BN35" s="209">
        <v>0</v>
      </c>
      <c r="BO35" s="26" t="s">
        <v>108</v>
      </c>
      <c r="BP35" s="34" t="s">
        <v>109</v>
      </c>
      <c r="BQ35" s="209">
        <v>4000</v>
      </c>
      <c r="BR35" s="26" t="s">
        <v>108</v>
      </c>
      <c r="BS35" s="34" t="s">
        <v>110</v>
      </c>
      <c r="BT35" s="209">
        <v>5500</v>
      </c>
      <c r="BU35" s="211">
        <v>11000</v>
      </c>
      <c r="BV35" s="212" t="s">
        <v>100</v>
      </c>
      <c r="BW35" s="212" t="s">
        <v>286</v>
      </c>
      <c r="BX35" s="213" t="s">
        <v>100</v>
      </c>
      <c r="BY35" s="213" t="s">
        <v>100</v>
      </c>
      <c r="BZ35" s="45">
        <v>2000</v>
      </c>
    </row>
    <row r="36" spans="1:78" ht="26.25" thickBot="1">
      <c r="A36" s="129">
        <v>3</v>
      </c>
      <c r="B36" s="172" t="s">
        <v>154</v>
      </c>
      <c r="C36" s="1"/>
      <c r="D36" s="296"/>
      <c r="E36" s="299"/>
      <c r="F36" s="345"/>
      <c r="G36" s="74">
        <v>445</v>
      </c>
      <c r="H36" s="62">
        <v>355</v>
      </c>
      <c r="I36" s="62">
        <v>6000</v>
      </c>
      <c r="J36" s="62">
        <v>6000</v>
      </c>
      <c r="K36" s="62">
        <v>50</v>
      </c>
      <c r="L36" s="62">
        <v>45</v>
      </c>
      <c r="M36" s="84" t="s">
        <v>235</v>
      </c>
      <c r="N36" s="197">
        <f>N10+14532</f>
        <v>207444</v>
      </c>
      <c r="O36" s="62" t="s">
        <v>89</v>
      </c>
      <c r="P36" s="62">
        <v>6</v>
      </c>
      <c r="Q36" s="64" t="s">
        <v>90</v>
      </c>
      <c r="R36" s="64" t="s">
        <v>91</v>
      </c>
      <c r="S36" s="64" t="s">
        <v>91</v>
      </c>
      <c r="T36" s="65" t="s">
        <v>92</v>
      </c>
      <c r="U36" s="65" t="s">
        <v>93</v>
      </c>
      <c r="V36" s="62" t="s">
        <v>94</v>
      </c>
      <c r="W36" s="62">
        <v>31</v>
      </c>
      <c r="X36" s="66" t="s">
        <v>95</v>
      </c>
      <c r="Y36" s="66" t="s">
        <v>96</v>
      </c>
      <c r="Z36" s="87">
        <v>12000</v>
      </c>
      <c r="AA36" s="84" t="s">
        <v>129</v>
      </c>
      <c r="AB36" s="87">
        <v>3850</v>
      </c>
      <c r="AC36" s="62" t="s">
        <v>97</v>
      </c>
      <c r="AD36" s="75" t="s">
        <v>97</v>
      </c>
      <c r="AE36" s="35"/>
      <c r="AF36" s="37">
        <f>AF10+14532</f>
        <v>196186</v>
      </c>
      <c r="AG36" s="29" t="s">
        <v>98</v>
      </c>
      <c r="AH36" s="38">
        <v>15433</v>
      </c>
      <c r="AI36" s="243" t="s">
        <v>292</v>
      </c>
      <c r="AJ36" s="39">
        <v>12000</v>
      </c>
      <c r="AK36" s="39" t="s">
        <v>301</v>
      </c>
      <c r="AL36" s="39">
        <v>3900</v>
      </c>
      <c r="AM36" s="30" t="s">
        <v>99</v>
      </c>
      <c r="AN36" s="40">
        <v>62443</v>
      </c>
      <c r="AO36" s="41" t="s">
        <v>303</v>
      </c>
      <c r="AP36" s="41" t="s">
        <v>306</v>
      </c>
      <c r="AQ36" s="27">
        <v>3000</v>
      </c>
      <c r="AR36" s="27" t="s">
        <v>94</v>
      </c>
      <c r="AS36" s="27">
        <v>900</v>
      </c>
      <c r="AT36" s="29">
        <v>41</v>
      </c>
      <c r="AU36" s="29" t="s">
        <v>100</v>
      </c>
      <c r="AV36" s="31">
        <v>42</v>
      </c>
      <c r="AW36" s="31" t="s">
        <v>100</v>
      </c>
      <c r="AX36" s="42">
        <v>16000</v>
      </c>
      <c r="AY36" s="43" t="s">
        <v>100</v>
      </c>
      <c r="AZ36" s="43" t="s">
        <v>270</v>
      </c>
      <c r="BA36" s="32" t="s">
        <v>94</v>
      </c>
      <c r="BB36" s="32">
        <v>500</v>
      </c>
      <c r="BC36" s="44" t="s">
        <v>102</v>
      </c>
      <c r="BD36" s="33" t="s">
        <v>103</v>
      </c>
      <c r="BE36" s="271" t="s">
        <v>104</v>
      </c>
      <c r="BF36" s="271" t="s">
        <v>105</v>
      </c>
      <c r="BG36" s="269">
        <v>0</v>
      </c>
      <c r="BH36" s="42">
        <v>30000</v>
      </c>
      <c r="BI36" s="47" t="s">
        <v>100</v>
      </c>
      <c r="BJ36" s="32" t="s">
        <v>309</v>
      </c>
      <c r="BK36" s="32">
        <v>500</v>
      </c>
      <c r="BL36" s="26" t="s">
        <v>106</v>
      </c>
      <c r="BM36" s="26" t="s">
        <v>107</v>
      </c>
      <c r="BN36" s="209">
        <v>0</v>
      </c>
      <c r="BO36" s="26" t="s">
        <v>108</v>
      </c>
      <c r="BP36" s="34" t="s">
        <v>109</v>
      </c>
      <c r="BQ36" s="209">
        <v>4000</v>
      </c>
      <c r="BR36" s="26" t="s">
        <v>108</v>
      </c>
      <c r="BS36" s="34" t="s">
        <v>110</v>
      </c>
      <c r="BT36" s="209">
        <v>5500</v>
      </c>
      <c r="BU36" s="211">
        <v>11000</v>
      </c>
      <c r="BV36" s="212" t="s">
        <v>100</v>
      </c>
      <c r="BW36" s="212" t="s">
        <v>286</v>
      </c>
      <c r="BX36" s="213" t="s">
        <v>100</v>
      </c>
      <c r="BY36" s="213" t="s">
        <v>100</v>
      </c>
      <c r="BZ36" s="45">
        <v>2000</v>
      </c>
    </row>
    <row r="37" spans="1:78" ht="26.25" thickBot="1">
      <c r="A37" s="129">
        <v>4</v>
      </c>
      <c r="B37" s="173" t="s">
        <v>155</v>
      </c>
      <c r="C37" s="1"/>
      <c r="D37" s="296"/>
      <c r="E37" s="299"/>
      <c r="F37" s="345"/>
      <c r="G37" s="74">
        <v>500</v>
      </c>
      <c r="H37" s="62">
        <v>400</v>
      </c>
      <c r="I37" s="62">
        <v>6000</v>
      </c>
      <c r="J37" s="62">
        <v>6000</v>
      </c>
      <c r="K37" s="62">
        <v>50</v>
      </c>
      <c r="L37" s="62">
        <v>50</v>
      </c>
      <c r="M37" s="84" t="s">
        <v>235</v>
      </c>
      <c r="N37" s="197">
        <f>N11+14582</f>
        <v>208945</v>
      </c>
      <c r="O37" s="62" t="s">
        <v>89</v>
      </c>
      <c r="P37" s="62">
        <v>6</v>
      </c>
      <c r="Q37" s="64" t="s">
        <v>90</v>
      </c>
      <c r="R37" s="64" t="s">
        <v>91</v>
      </c>
      <c r="S37" s="64" t="s">
        <v>91</v>
      </c>
      <c r="T37" s="65" t="s">
        <v>92</v>
      </c>
      <c r="U37" s="65" t="s">
        <v>93</v>
      </c>
      <c r="V37" s="62" t="s">
        <v>94</v>
      </c>
      <c r="W37" s="62">
        <v>31</v>
      </c>
      <c r="X37" s="66" t="s">
        <v>95</v>
      </c>
      <c r="Y37" s="66" t="s">
        <v>96</v>
      </c>
      <c r="Z37" s="87">
        <v>12000</v>
      </c>
      <c r="AA37" s="84" t="s">
        <v>129</v>
      </c>
      <c r="AB37" s="87">
        <v>3850</v>
      </c>
      <c r="AC37" s="62" t="s">
        <v>97</v>
      </c>
      <c r="AD37" s="75" t="s">
        <v>97</v>
      </c>
      <c r="AE37" s="35"/>
      <c r="AF37" s="37">
        <f>AF11+14582</f>
        <v>196853</v>
      </c>
      <c r="AG37" s="29" t="s">
        <v>98</v>
      </c>
      <c r="AH37" s="38">
        <v>15549</v>
      </c>
      <c r="AI37" s="243" t="s">
        <v>292</v>
      </c>
      <c r="AJ37" s="39">
        <v>12000</v>
      </c>
      <c r="AK37" s="39" t="s">
        <v>301</v>
      </c>
      <c r="AL37" s="39">
        <v>3900</v>
      </c>
      <c r="AM37" s="30" t="s">
        <v>99</v>
      </c>
      <c r="AN37" s="40">
        <v>62443</v>
      </c>
      <c r="AO37" s="41" t="s">
        <v>303</v>
      </c>
      <c r="AP37" s="41" t="s">
        <v>306</v>
      </c>
      <c r="AQ37" s="27">
        <v>3000</v>
      </c>
      <c r="AR37" s="27" t="s">
        <v>94</v>
      </c>
      <c r="AS37" s="27">
        <v>900</v>
      </c>
      <c r="AT37" s="29">
        <v>41</v>
      </c>
      <c r="AU37" s="29" t="s">
        <v>100</v>
      </c>
      <c r="AV37" s="31">
        <v>42</v>
      </c>
      <c r="AW37" s="31" t="s">
        <v>100</v>
      </c>
      <c r="AX37" s="42">
        <v>16000</v>
      </c>
      <c r="AY37" s="43" t="s">
        <v>100</v>
      </c>
      <c r="AZ37" s="43" t="s">
        <v>270</v>
      </c>
      <c r="BA37" s="32" t="s">
        <v>94</v>
      </c>
      <c r="BB37" s="32">
        <v>500</v>
      </c>
      <c r="BC37" s="44" t="s">
        <v>102</v>
      </c>
      <c r="BD37" s="33" t="s">
        <v>103</v>
      </c>
      <c r="BE37" s="271" t="s">
        <v>104</v>
      </c>
      <c r="BF37" s="271" t="s">
        <v>105</v>
      </c>
      <c r="BG37" s="269">
        <v>0</v>
      </c>
      <c r="BH37" s="42">
        <v>30000</v>
      </c>
      <c r="BI37" s="47" t="s">
        <v>100</v>
      </c>
      <c r="BJ37" s="32" t="s">
        <v>309</v>
      </c>
      <c r="BK37" s="32">
        <v>500</v>
      </c>
      <c r="BL37" s="26" t="s">
        <v>106</v>
      </c>
      <c r="BM37" s="26" t="s">
        <v>107</v>
      </c>
      <c r="BN37" s="209">
        <v>0</v>
      </c>
      <c r="BO37" s="26" t="s">
        <v>108</v>
      </c>
      <c r="BP37" s="34" t="s">
        <v>109</v>
      </c>
      <c r="BQ37" s="209">
        <v>4000</v>
      </c>
      <c r="BR37" s="26" t="s">
        <v>108</v>
      </c>
      <c r="BS37" s="34" t="s">
        <v>110</v>
      </c>
      <c r="BT37" s="209">
        <v>5500</v>
      </c>
      <c r="BU37" s="211">
        <v>11000</v>
      </c>
      <c r="BV37" s="212" t="s">
        <v>100</v>
      </c>
      <c r="BW37" s="212" t="s">
        <v>286</v>
      </c>
      <c r="BX37" s="213" t="s">
        <v>100</v>
      </c>
      <c r="BY37" s="213" t="s">
        <v>100</v>
      </c>
      <c r="BZ37" s="45">
        <v>2000</v>
      </c>
    </row>
    <row r="38" spans="1:78" ht="26.25" thickBot="1">
      <c r="B38" s="127" t="s">
        <v>177</v>
      </c>
      <c r="C38" s="1"/>
      <c r="D38" s="296"/>
      <c r="E38" s="299"/>
      <c r="F38" s="345"/>
      <c r="G38" s="74">
        <v>565</v>
      </c>
      <c r="H38" s="62">
        <v>450</v>
      </c>
      <c r="I38" s="62">
        <v>6000</v>
      </c>
      <c r="J38" s="62">
        <v>6000</v>
      </c>
      <c r="K38" s="62">
        <v>50</v>
      </c>
      <c r="L38" s="62">
        <v>56</v>
      </c>
      <c r="M38" s="84" t="s">
        <v>235</v>
      </c>
      <c r="N38" s="197">
        <f>N12+14666</f>
        <v>211276</v>
      </c>
      <c r="O38" s="62" t="s">
        <v>89</v>
      </c>
      <c r="P38" s="62">
        <v>6</v>
      </c>
      <c r="Q38" s="64" t="s">
        <v>90</v>
      </c>
      <c r="R38" s="64" t="s">
        <v>91</v>
      </c>
      <c r="S38" s="64" t="s">
        <v>91</v>
      </c>
      <c r="T38" s="65" t="s">
        <v>92</v>
      </c>
      <c r="U38" s="65" t="s">
        <v>93</v>
      </c>
      <c r="V38" s="62" t="s">
        <v>94</v>
      </c>
      <c r="W38" s="62">
        <v>31</v>
      </c>
      <c r="X38" s="66" t="s">
        <v>95</v>
      </c>
      <c r="Y38" s="66" t="s">
        <v>96</v>
      </c>
      <c r="Z38" s="87">
        <v>12000</v>
      </c>
      <c r="AA38" s="84" t="s">
        <v>129</v>
      </c>
      <c r="AB38" s="87">
        <v>3850</v>
      </c>
      <c r="AC38" s="62" t="s">
        <v>97</v>
      </c>
      <c r="AD38" s="75" t="s">
        <v>97</v>
      </c>
      <c r="AE38" s="35"/>
      <c r="AF38" s="37">
        <f>AF12+14666</f>
        <v>197986</v>
      </c>
      <c r="AG38" s="29" t="s">
        <v>98</v>
      </c>
      <c r="AH38" s="38">
        <v>15729</v>
      </c>
      <c r="AI38" s="243" t="s">
        <v>292</v>
      </c>
      <c r="AJ38" s="39">
        <v>12000</v>
      </c>
      <c r="AK38" s="39" t="s">
        <v>301</v>
      </c>
      <c r="AL38" s="39">
        <v>3900</v>
      </c>
      <c r="AM38" s="30" t="s">
        <v>99</v>
      </c>
      <c r="AN38" s="40">
        <v>62443</v>
      </c>
      <c r="AO38" s="41" t="s">
        <v>303</v>
      </c>
      <c r="AP38" s="41" t="s">
        <v>306</v>
      </c>
      <c r="AQ38" s="27">
        <v>3000</v>
      </c>
      <c r="AR38" s="27" t="s">
        <v>94</v>
      </c>
      <c r="AS38" s="27">
        <v>900</v>
      </c>
      <c r="AT38" s="29">
        <v>41</v>
      </c>
      <c r="AU38" s="29" t="s">
        <v>100</v>
      </c>
      <c r="AV38" s="31">
        <v>42</v>
      </c>
      <c r="AW38" s="31" t="s">
        <v>100</v>
      </c>
      <c r="AX38" s="42">
        <v>16000</v>
      </c>
      <c r="AY38" s="43" t="s">
        <v>100</v>
      </c>
      <c r="AZ38" s="43" t="s">
        <v>270</v>
      </c>
      <c r="BA38" s="32" t="s">
        <v>94</v>
      </c>
      <c r="BB38" s="32">
        <v>500</v>
      </c>
      <c r="BC38" s="44" t="s">
        <v>102</v>
      </c>
      <c r="BD38" s="33" t="s">
        <v>103</v>
      </c>
      <c r="BE38" s="271" t="s">
        <v>104</v>
      </c>
      <c r="BF38" s="271" t="s">
        <v>105</v>
      </c>
      <c r="BG38" s="269">
        <v>0</v>
      </c>
      <c r="BH38" s="42">
        <v>30000</v>
      </c>
      <c r="BI38" s="47" t="s">
        <v>100</v>
      </c>
      <c r="BJ38" s="32" t="s">
        <v>309</v>
      </c>
      <c r="BK38" s="32">
        <v>500</v>
      </c>
      <c r="BL38" s="26" t="s">
        <v>106</v>
      </c>
      <c r="BM38" s="26" t="s">
        <v>107</v>
      </c>
      <c r="BN38" s="209">
        <v>0</v>
      </c>
      <c r="BO38" s="26" t="s">
        <v>108</v>
      </c>
      <c r="BP38" s="34" t="s">
        <v>109</v>
      </c>
      <c r="BQ38" s="209">
        <v>4000</v>
      </c>
      <c r="BR38" s="26" t="s">
        <v>108</v>
      </c>
      <c r="BS38" s="34" t="s">
        <v>110</v>
      </c>
      <c r="BT38" s="209">
        <v>5500</v>
      </c>
      <c r="BU38" s="211">
        <v>11000</v>
      </c>
      <c r="BV38" s="212" t="s">
        <v>100</v>
      </c>
      <c r="BW38" s="212" t="s">
        <v>286</v>
      </c>
      <c r="BX38" s="213" t="s">
        <v>100</v>
      </c>
      <c r="BY38" s="213" t="s">
        <v>100</v>
      </c>
      <c r="BZ38" s="45">
        <v>2000</v>
      </c>
    </row>
    <row r="39" spans="1:78" ht="26.25" thickBot="1">
      <c r="A39" s="129">
        <v>5</v>
      </c>
      <c r="B39" s="128" t="s">
        <v>210</v>
      </c>
      <c r="C39" s="1"/>
      <c r="D39" s="296"/>
      <c r="E39" s="299"/>
      <c r="F39" s="345"/>
      <c r="G39" s="74">
        <v>625</v>
      </c>
      <c r="H39" s="62">
        <v>500</v>
      </c>
      <c r="I39" s="62">
        <v>6000</v>
      </c>
      <c r="J39" s="62">
        <v>6000</v>
      </c>
      <c r="K39" s="62">
        <v>50</v>
      </c>
      <c r="L39" s="62">
        <v>63</v>
      </c>
      <c r="M39" s="84" t="s">
        <v>235</v>
      </c>
      <c r="N39" s="197">
        <f>N13+14826</f>
        <v>213468</v>
      </c>
      <c r="O39" s="62" t="s">
        <v>89</v>
      </c>
      <c r="P39" s="62">
        <v>6</v>
      </c>
      <c r="Q39" s="64" t="s">
        <v>90</v>
      </c>
      <c r="R39" s="64" t="s">
        <v>91</v>
      </c>
      <c r="S39" s="64" t="s">
        <v>91</v>
      </c>
      <c r="T39" s="65" t="s">
        <v>92</v>
      </c>
      <c r="U39" s="65" t="s">
        <v>93</v>
      </c>
      <c r="V39" s="62" t="s">
        <v>94</v>
      </c>
      <c r="W39" s="62">
        <v>31</v>
      </c>
      <c r="X39" s="66" t="s">
        <v>95</v>
      </c>
      <c r="Y39" s="66" t="s">
        <v>96</v>
      </c>
      <c r="Z39" s="87">
        <v>12000</v>
      </c>
      <c r="AA39" s="84" t="s">
        <v>129</v>
      </c>
      <c r="AB39" s="87">
        <v>3850</v>
      </c>
      <c r="AC39" s="62" t="s">
        <v>97</v>
      </c>
      <c r="AD39" s="75" t="s">
        <v>97</v>
      </c>
      <c r="AE39" s="35"/>
      <c r="AF39" s="37">
        <f>AF13+14826</f>
        <v>200149</v>
      </c>
      <c r="AG39" s="29" t="s">
        <v>98</v>
      </c>
      <c r="AH39" s="38">
        <v>15891</v>
      </c>
      <c r="AI39" s="243" t="s">
        <v>292</v>
      </c>
      <c r="AJ39" s="39">
        <v>12000</v>
      </c>
      <c r="AK39" s="39" t="s">
        <v>301</v>
      </c>
      <c r="AL39" s="39">
        <v>3900</v>
      </c>
      <c r="AM39" s="30" t="s">
        <v>99</v>
      </c>
      <c r="AN39" s="40">
        <v>62443</v>
      </c>
      <c r="AO39" s="41" t="s">
        <v>303</v>
      </c>
      <c r="AP39" s="41" t="s">
        <v>306</v>
      </c>
      <c r="AQ39" s="27">
        <v>3000</v>
      </c>
      <c r="AR39" s="27" t="s">
        <v>94</v>
      </c>
      <c r="AS39" s="27">
        <v>900</v>
      </c>
      <c r="AT39" s="29">
        <v>41</v>
      </c>
      <c r="AU39" s="29" t="s">
        <v>100</v>
      </c>
      <c r="AV39" s="31">
        <v>42</v>
      </c>
      <c r="AW39" s="31" t="s">
        <v>100</v>
      </c>
      <c r="AX39" s="42">
        <v>16000</v>
      </c>
      <c r="AY39" s="43" t="s">
        <v>100</v>
      </c>
      <c r="AZ39" s="43" t="s">
        <v>270</v>
      </c>
      <c r="BA39" s="32" t="s">
        <v>94</v>
      </c>
      <c r="BB39" s="32">
        <v>500</v>
      </c>
      <c r="BC39" s="44" t="s">
        <v>102</v>
      </c>
      <c r="BD39" s="33" t="s">
        <v>103</v>
      </c>
      <c r="BE39" s="271" t="s">
        <v>104</v>
      </c>
      <c r="BF39" s="271" t="s">
        <v>105</v>
      </c>
      <c r="BG39" s="269">
        <v>0</v>
      </c>
      <c r="BH39" s="42">
        <v>30000</v>
      </c>
      <c r="BI39" s="47" t="s">
        <v>100</v>
      </c>
      <c r="BJ39" s="32" t="s">
        <v>309</v>
      </c>
      <c r="BK39" s="32">
        <v>500</v>
      </c>
      <c r="BL39" s="26" t="s">
        <v>106</v>
      </c>
      <c r="BM39" s="26" t="s">
        <v>107</v>
      </c>
      <c r="BN39" s="209">
        <v>0</v>
      </c>
      <c r="BO39" s="26" t="s">
        <v>108</v>
      </c>
      <c r="BP39" s="34" t="s">
        <v>109</v>
      </c>
      <c r="BQ39" s="209">
        <v>4000</v>
      </c>
      <c r="BR39" s="26" t="s">
        <v>108</v>
      </c>
      <c r="BS39" s="34" t="s">
        <v>110</v>
      </c>
      <c r="BT39" s="209">
        <v>5500</v>
      </c>
      <c r="BU39" s="211">
        <v>11000</v>
      </c>
      <c r="BV39" s="212" t="s">
        <v>100</v>
      </c>
      <c r="BW39" s="212" t="s">
        <v>286</v>
      </c>
      <c r="BX39" s="213" t="s">
        <v>100</v>
      </c>
      <c r="BY39" s="213" t="s">
        <v>100</v>
      </c>
      <c r="BZ39" s="45">
        <v>2000</v>
      </c>
    </row>
    <row r="40" spans="1:78" ht="26.25" thickBot="1">
      <c r="A40" s="129">
        <v>9</v>
      </c>
      <c r="B40" s="128" t="s">
        <v>211</v>
      </c>
      <c r="C40" s="1"/>
      <c r="D40" s="296"/>
      <c r="E40" s="299"/>
      <c r="F40" s="345"/>
      <c r="G40" s="74">
        <v>700</v>
      </c>
      <c r="H40" s="62">
        <v>560</v>
      </c>
      <c r="I40" s="62">
        <v>6000</v>
      </c>
      <c r="J40" s="62">
        <v>6000</v>
      </c>
      <c r="K40" s="62">
        <v>50</v>
      </c>
      <c r="L40" s="62">
        <v>70</v>
      </c>
      <c r="M40" s="84" t="s">
        <v>235</v>
      </c>
      <c r="N40" s="197">
        <f>N14+15730</f>
        <v>225723</v>
      </c>
      <c r="O40" s="62" t="s">
        <v>89</v>
      </c>
      <c r="P40" s="62">
        <v>6</v>
      </c>
      <c r="Q40" s="64" t="s">
        <v>90</v>
      </c>
      <c r="R40" s="64" t="s">
        <v>91</v>
      </c>
      <c r="S40" s="64" t="s">
        <v>91</v>
      </c>
      <c r="T40" s="65" t="s">
        <v>92</v>
      </c>
      <c r="U40" s="65" t="s">
        <v>93</v>
      </c>
      <c r="V40" s="62" t="s">
        <v>94</v>
      </c>
      <c r="W40" s="62">
        <v>31</v>
      </c>
      <c r="X40" s="66" t="s">
        <v>95</v>
      </c>
      <c r="Y40" s="66" t="s">
        <v>96</v>
      </c>
      <c r="Z40" s="87">
        <v>12000</v>
      </c>
      <c r="AA40" s="84" t="s">
        <v>129</v>
      </c>
      <c r="AB40" s="87">
        <v>3850</v>
      </c>
      <c r="AC40" s="62" t="s">
        <v>97</v>
      </c>
      <c r="AD40" s="75" t="s">
        <v>97</v>
      </c>
      <c r="AE40" s="35"/>
      <c r="AF40" s="37">
        <f>AF14+15730</f>
        <v>212361</v>
      </c>
      <c r="AG40" s="29" t="s">
        <v>98</v>
      </c>
      <c r="AH40" s="38">
        <v>16799</v>
      </c>
      <c r="AI40" s="243" t="s">
        <v>292</v>
      </c>
      <c r="AJ40" s="39">
        <v>12000</v>
      </c>
      <c r="AK40" s="39" t="s">
        <v>301</v>
      </c>
      <c r="AL40" s="39">
        <v>3900</v>
      </c>
      <c r="AM40" s="30" t="s">
        <v>99</v>
      </c>
      <c r="AN40" s="40">
        <v>62443</v>
      </c>
      <c r="AO40" s="41" t="s">
        <v>303</v>
      </c>
      <c r="AP40" s="41" t="s">
        <v>306</v>
      </c>
      <c r="AQ40" s="27">
        <v>3000</v>
      </c>
      <c r="AR40" s="27" t="s">
        <v>94</v>
      </c>
      <c r="AS40" s="27">
        <v>900</v>
      </c>
      <c r="AT40" s="29">
        <v>41</v>
      </c>
      <c r="AU40" s="29" t="s">
        <v>100</v>
      </c>
      <c r="AV40" s="31">
        <v>42</v>
      </c>
      <c r="AW40" s="31" t="s">
        <v>100</v>
      </c>
      <c r="AX40" s="42">
        <v>16000</v>
      </c>
      <c r="AY40" s="43" t="s">
        <v>100</v>
      </c>
      <c r="AZ40" s="43" t="s">
        <v>270</v>
      </c>
      <c r="BA40" s="32" t="s">
        <v>94</v>
      </c>
      <c r="BB40" s="32">
        <v>500</v>
      </c>
      <c r="BC40" s="44" t="s">
        <v>102</v>
      </c>
      <c r="BD40" s="33" t="s">
        <v>103</v>
      </c>
      <c r="BE40" s="271" t="s">
        <v>104</v>
      </c>
      <c r="BF40" s="271" t="s">
        <v>105</v>
      </c>
      <c r="BG40" s="269">
        <v>0</v>
      </c>
      <c r="BH40" s="42">
        <v>30000</v>
      </c>
      <c r="BI40" s="47" t="s">
        <v>100</v>
      </c>
      <c r="BJ40" s="32" t="s">
        <v>309</v>
      </c>
      <c r="BK40" s="32">
        <v>500</v>
      </c>
      <c r="BL40" s="26" t="s">
        <v>106</v>
      </c>
      <c r="BM40" s="26" t="s">
        <v>107</v>
      </c>
      <c r="BN40" s="209">
        <v>0</v>
      </c>
      <c r="BO40" s="26" t="s">
        <v>108</v>
      </c>
      <c r="BP40" s="34" t="s">
        <v>109</v>
      </c>
      <c r="BQ40" s="209">
        <v>4000</v>
      </c>
      <c r="BR40" s="26" t="s">
        <v>108</v>
      </c>
      <c r="BS40" s="34" t="s">
        <v>110</v>
      </c>
      <c r="BT40" s="209">
        <v>5500</v>
      </c>
      <c r="BU40" s="211">
        <v>11000</v>
      </c>
      <c r="BV40" s="212" t="s">
        <v>100</v>
      </c>
      <c r="BW40" s="212" t="s">
        <v>286</v>
      </c>
      <c r="BX40" s="213" t="s">
        <v>100</v>
      </c>
      <c r="BY40" s="213" t="s">
        <v>100</v>
      </c>
      <c r="BZ40" s="45">
        <v>2000</v>
      </c>
    </row>
    <row r="41" spans="1:78" ht="26.25" thickBot="1">
      <c r="A41" s="129">
        <v>6</v>
      </c>
      <c r="B41" s="206" t="s">
        <v>213</v>
      </c>
      <c r="C41" s="1"/>
      <c r="D41" s="296"/>
      <c r="E41" s="299"/>
      <c r="F41" s="345"/>
      <c r="G41" s="92">
        <v>790</v>
      </c>
      <c r="H41" s="93">
        <v>630</v>
      </c>
      <c r="I41" s="93">
        <v>6000</v>
      </c>
      <c r="J41" s="93">
        <v>6000</v>
      </c>
      <c r="K41" s="93">
        <v>50</v>
      </c>
      <c r="L41" s="93">
        <v>79</v>
      </c>
      <c r="M41" s="94" t="s">
        <v>235</v>
      </c>
      <c r="N41" s="200">
        <f>N15+16247</f>
        <v>232753</v>
      </c>
      <c r="O41" s="93" t="s">
        <v>89</v>
      </c>
      <c r="P41" s="93">
        <v>6</v>
      </c>
      <c r="Q41" s="96" t="s">
        <v>90</v>
      </c>
      <c r="R41" s="96" t="s">
        <v>91</v>
      </c>
      <c r="S41" s="96" t="s">
        <v>91</v>
      </c>
      <c r="T41" s="97" t="s">
        <v>92</v>
      </c>
      <c r="U41" s="97" t="s">
        <v>93</v>
      </c>
      <c r="V41" s="93" t="s">
        <v>94</v>
      </c>
      <c r="W41" s="93">
        <v>31</v>
      </c>
      <c r="X41" s="98" t="s">
        <v>95</v>
      </c>
      <c r="Y41" s="98" t="s">
        <v>96</v>
      </c>
      <c r="Z41" s="99">
        <v>12000</v>
      </c>
      <c r="AA41" s="94" t="s">
        <v>129</v>
      </c>
      <c r="AB41" s="99">
        <v>3850</v>
      </c>
      <c r="AC41" s="93" t="s">
        <v>97</v>
      </c>
      <c r="AD41" s="100" t="s">
        <v>97</v>
      </c>
      <c r="AE41" s="35"/>
      <c r="AF41" s="37">
        <f>AF15+16247</f>
        <v>219340</v>
      </c>
      <c r="AG41" s="29" t="s">
        <v>98</v>
      </c>
      <c r="AH41" s="218">
        <v>17320</v>
      </c>
      <c r="AI41" s="244" t="s">
        <v>292</v>
      </c>
      <c r="AJ41" s="220">
        <v>12000</v>
      </c>
      <c r="AK41" s="220" t="s">
        <v>301</v>
      </c>
      <c r="AL41" s="220">
        <v>3900</v>
      </c>
      <c r="AM41" s="221" t="s">
        <v>99</v>
      </c>
      <c r="AN41" s="40">
        <v>62443</v>
      </c>
      <c r="AO41" s="41" t="s">
        <v>303</v>
      </c>
      <c r="AP41" s="41" t="s">
        <v>306</v>
      </c>
      <c r="AQ41" s="27">
        <v>3000</v>
      </c>
      <c r="AR41" s="27" t="s">
        <v>94</v>
      </c>
      <c r="AS41" s="27">
        <v>900</v>
      </c>
      <c r="AT41" s="29">
        <v>41</v>
      </c>
      <c r="AU41" s="29" t="s">
        <v>100</v>
      </c>
      <c r="AV41" s="31">
        <v>42</v>
      </c>
      <c r="AW41" s="31" t="s">
        <v>100</v>
      </c>
      <c r="AX41" s="42">
        <v>16000</v>
      </c>
      <c r="AY41" s="43" t="s">
        <v>100</v>
      </c>
      <c r="AZ41" s="43" t="s">
        <v>270</v>
      </c>
      <c r="BA41" s="32" t="s">
        <v>94</v>
      </c>
      <c r="BB41" s="32">
        <v>500</v>
      </c>
      <c r="BC41" s="44" t="s">
        <v>102</v>
      </c>
      <c r="BD41" s="33" t="s">
        <v>103</v>
      </c>
      <c r="BE41" s="271" t="s">
        <v>104</v>
      </c>
      <c r="BF41" s="271" t="s">
        <v>105</v>
      </c>
      <c r="BG41" s="269">
        <v>0</v>
      </c>
      <c r="BH41" s="42">
        <v>33000</v>
      </c>
      <c r="BI41" s="47" t="s">
        <v>100</v>
      </c>
      <c r="BJ41" s="32" t="s">
        <v>101</v>
      </c>
      <c r="BK41" s="32" t="s">
        <v>100</v>
      </c>
      <c r="BL41" s="26" t="s">
        <v>106</v>
      </c>
      <c r="BM41" s="26" t="s">
        <v>107</v>
      </c>
      <c r="BN41" s="209">
        <v>0</v>
      </c>
      <c r="BO41" s="26" t="s">
        <v>108</v>
      </c>
      <c r="BP41" s="34" t="s">
        <v>109</v>
      </c>
      <c r="BQ41" s="209">
        <v>4000</v>
      </c>
      <c r="BR41" s="26" t="s">
        <v>108</v>
      </c>
      <c r="BS41" s="34" t="s">
        <v>110</v>
      </c>
      <c r="BT41" s="209">
        <v>5500</v>
      </c>
      <c r="BU41" s="211">
        <v>11000</v>
      </c>
      <c r="BV41" s="212" t="s">
        <v>100</v>
      </c>
      <c r="BW41" s="212" t="s">
        <v>286</v>
      </c>
      <c r="BX41" s="213" t="s">
        <v>100</v>
      </c>
      <c r="BY41" s="213" t="s">
        <v>100</v>
      </c>
      <c r="BZ41" s="45">
        <v>2000</v>
      </c>
    </row>
    <row r="42" spans="1:78" ht="26.25" thickBot="1">
      <c r="A42" s="129">
        <v>10</v>
      </c>
      <c r="B42" s="206" t="s">
        <v>214</v>
      </c>
      <c r="C42" s="1"/>
      <c r="D42" s="296"/>
      <c r="E42" s="299"/>
      <c r="F42" s="345"/>
      <c r="G42" s="67">
        <v>890</v>
      </c>
      <c r="H42" s="68">
        <v>710</v>
      </c>
      <c r="I42" s="68">
        <v>6000</v>
      </c>
      <c r="J42" s="68">
        <v>6000</v>
      </c>
      <c r="K42" s="68">
        <v>50</v>
      </c>
      <c r="L42" s="68">
        <v>88</v>
      </c>
      <c r="M42" s="103" t="s">
        <v>236</v>
      </c>
      <c r="N42" s="196">
        <f>N16+16688</f>
        <v>238744</v>
      </c>
      <c r="O42" s="68" t="s">
        <v>89</v>
      </c>
      <c r="P42" s="68">
        <v>6</v>
      </c>
      <c r="Q42" s="70" t="s">
        <v>90</v>
      </c>
      <c r="R42" s="70" t="s">
        <v>91</v>
      </c>
      <c r="S42" s="70" t="s">
        <v>91</v>
      </c>
      <c r="T42" s="71" t="s">
        <v>92</v>
      </c>
      <c r="U42" s="71" t="s">
        <v>93</v>
      </c>
      <c r="V42" s="68" t="s">
        <v>94</v>
      </c>
      <c r="W42" s="68">
        <v>31</v>
      </c>
      <c r="X42" s="72" t="s">
        <v>95</v>
      </c>
      <c r="Y42" s="72" t="s">
        <v>96</v>
      </c>
      <c r="Z42" s="104">
        <v>15000</v>
      </c>
      <c r="AA42" s="103" t="s">
        <v>141</v>
      </c>
      <c r="AB42" s="104">
        <v>5100</v>
      </c>
      <c r="AC42" s="68" t="s">
        <v>97</v>
      </c>
      <c r="AD42" s="73" t="s">
        <v>97</v>
      </c>
      <c r="AE42" s="35"/>
      <c r="AF42" s="37">
        <f>AF16+16688</f>
        <v>225289</v>
      </c>
      <c r="AG42" s="29" t="s">
        <v>98</v>
      </c>
      <c r="AH42" s="222">
        <v>17764</v>
      </c>
      <c r="AI42" s="245" t="s">
        <v>293</v>
      </c>
      <c r="AJ42" s="224">
        <v>15000</v>
      </c>
      <c r="AK42" s="224" t="s">
        <v>141</v>
      </c>
      <c r="AL42" s="224">
        <v>4400</v>
      </c>
      <c r="AM42" s="225" t="s">
        <v>99</v>
      </c>
      <c r="AN42" s="40">
        <v>62443</v>
      </c>
      <c r="AO42" s="41" t="s">
        <v>303</v>
      </c>
      <c r="AP42" s="41" t="s">
        <v>306</v>
      </c>
      <c r="AQ42" s="27">
        <v>3000</v>
      </c>
      <c r="AR42" s="27" t="s">
        <v>94</v>
      </c>
      <c r="AS42" s="27">
        <v>900</v>
      </c>
      <c r="AT42" s="29">
        <v>41</v>
      </c>
      <c r="AU42" s="29" t="s">
        <v>100</v>
      </c>
      <c r="AV42" s="31">
        <v>42</v>
      </c>
      <c r="AW42" s="31" t="s">
        <v>100</v>
      </c>
      <c r="AX42" s="42">
        <v>16000</v>
      </c>
      <c r="AY42" s="43" t="s">
        <v>100</v>
      </c>
      <c r="AZ42" s="43" t="s">
        <v>270</v>
      </c>
      <c r="BA42" s="32" t="s">
        <v>94</v>
      </c>
      <c r="BB42" s="32">
        <v>500</v>
      </c>
      <c r="BC42" s="44" t="s">
        <v>102</v>
      </c>
      <c r="BD42" s="33" t="s">
        <v>103</v>
      </c>
      <c r="BE42" s="271" t="s">
        <v>104</v>
      </c>
      <c r="BF42" s="271" t="s">
        <v>105</v>
      </c>
      <c r="BG42" s="269">
        <v>0</v>
      </c>
      <c r="BH42" s="42">
        <v>33000</v>
      </c>
      <c r="BI42" s="47" t="s">
        <v>100</v>
      </c>
      <c r="BJ42" s="32" t="s">
        <v>101</v>
      </c>
      <c r="BK42" s="32" t="s">
        <v>100</v>
      </c>
      <c r="BL42" s="26" t="s">
        <v>106</v>
      </c>
      <c r="BM42" s="26" t="s">
        <v>107</v>
      </c>
      <c r="BN42" s="209">
        <v>0</v>
      </c>
      <c r="BO42" s="26" t="s">
        <v>108</v>
      </c>
      <c r="BP42" s="34" t="s">
        <v>109</v>
      </c>
      <c r="BQ42" s="209">
        <v>4000</v>
      </c>
      <c r="BR42" s="26" t="s">
        <v>108</v>
      </c>
      <c r="BS42" s="34" t="s">
        <v>110</v>
      </c>
      <c r="BT42" s="209">
        <v>5500</v>
      </c>
      <c r="BU42" s="211">
        <v>11000</v>
      </c>
      <c r="BV42" s="212" t="s">
        <v>100</v>
      </c>
      <c r="BW42" s="212" t="s">
        <v>286</v>
      </c>
      <c r="BX42" s="213" t="s">
        <v>100</v>
      </c>
      <c r="BY42" s="213" t="s">
        <v>100</v>
      </c>
      <c r="BZ42" s="45">
        <v>2000</v>
      </c>
    </row>
    <row r="43" spans="1:78" ht="26.25" thickBot="1">
      <c r="A43" s="129">
        <v>7</v>
      </c>
      <c r="B43" s="207" t="s">
        <v>215</v>
      </c>
      <c r="C43" s="1"/>
      <c r="D43" s="296"/>
      <c r="E43" s="299"/>
      <c r="F43" s="345"/>
      <c r="G43" s="74">
        <v>1000</v>
      </c>
      <c r="H43" s="62">
        <v>800</v>
      </c>
      <c r="I43" s="62">
        <v>6000</v>
      </c>
      <c r="J43" s="62">
        <v>6000</v>
      </c>
      <c r="K43" s="62">
        <v>50</v>
      </c>
      <c r="L43" s="62">
        <v>96</v>
      </c>
      <c r="M43" s="101" t="s">
        <v>236</v>
      </c>
      <c r="N43" s="197">
        <f>N17+17038</f>
        <v>245161</v>
      </c>
      <c r="O43" s="62" t="s">
        <v>89</v>
      </c>
      <c r="P43" s="62">
        <v>6</v>
      </c>
      <c r="Q43" s="64" t="s">
        <v>90</v>
      </c>
      <c r="R43" s="64" t="s">
        <v>91</v>
      </c>
      <c r="S43" s="64" t="s">
        <v>91</v>
      </c>
      <c r="T43" s="65" t="s">
        <v>92</v>
      </c>
      <c r="U43" s="65" t="s">
        <v>93</v>
      </c>
      <c r="V43" s="62" t="s">
        <v>94</v>
      </c>
      <c r="W43" s="62">
        <v>31</v>
      </c>
      <c r="X43" s="66" t="s">
        <v>95</v>
      </c>
      <c r="Y43" s="66" t="s">
        <v>96</v>
      </c>
      <c r="Z43" s="102">
        <v>15000</v>
      </c>
      <c r="AA43" s="101" t="s">
        <v>141</v>
      </c>
      <c r="AB43" s="102">
        <v>5100</v>
      </c>
      <c r="AC43" s="62" t="s">
        <v>97</v>
      </c>
      <c r="AD43" s="75" t="s">
        <v>97</v>
      </c>
      <c r="AE43" s="35"/>
      <c r="AF43" s="37">
        <f>AF17+17038</f>
        <v>230018</v>
      </c>
      <c r="AG43" s="29" t="s">
        <v>98</v>
      </c>
      <c r="AH43" s="226">
        <v>18250</v>
      </c>
      <c r="AI43" s="243" t="s">
        <v>293</v>
      </c>
      <c r="AJ43" s="39">
        <v>15000</v>
      </c>
      <c r="AK43" s="39" t="s">
        <v>141</v>
      </c>
      <c r="AL43" s="39">
        <v>4400</v>
      </c>
      <c r="AM43" s="30" t="s">
        <v>99</v>
      </c>
      <c r="AN43" s="40">
        <v>62443</v>
      </c>
      <c r="AO43" s="41" t="s">
        <v>303</v>
      </c>
      <c r="AP43" s="41" t="s">
        <v>306</v>
      </c>
      <c r="AQ43" s="27">
        <v>3000</v>
      </c>
      <c r="AR43" s="27" t="s">
        <v>94</v>
      </c>
      <c r="AS43" s="27">
        <v>900</v>
      </c>
      <c r="AT43" s="29">
        <v>41</v>
      </c>
      <c r="AU43" s="29" t="s">
        <v>100</v>
      </c>
      <c r="AV43" s="31">
        <v>42</v>
      </c>
      <c r="AW43" s="31" t="s">
        <v>100</v>
      </c>
      <c r="AX43" s="42">
        <v>16000</v>
      </c>
      <c r="AY43" s="43" t="s">
        <v>100</v>
      </c>
      <c r="AZ43" s="43" t="s">
        <v>270</v>
      </c>
      <c r="BA43" s="32" t="s">
        <v>94</v>
      </c>
      <c r="BB43" s="32">
        <v>500</v>
      </c>
      <c r="BC43" s="44" t="s">
        <v>102</v>
      </c>
      <c r="BD43" s="33" t="s">
        <v>103</v>
      </c>
      <c r="BE43" s="271" t="s">
        <v>104</v>
      </c>
      <c r="BF43" s="271" t="s">
        <v>105</v>
      </c>
      <c r="BG43" s="269">
        <v>0</v>
      </c>
      <c r="BH43" s="42">
        <v>33000</v>
      </c>
      <c r="BI43" s="47" t="s">
        <v>100</v>
      </c>
      <c r="BJ43" s="32" t="s">
        <v>101</v>
      </c>
      <c r="BK43" s="32" t="s">
        <v>100</v>
      </c>
      <c r="BL43" s="26" t="s">
        <v>106</v>
      </c>
      <c r="BM43" s="26" t="s">
        <v>107</v>
      </c>
      <c r="BN43" s="209">
        <v>0</v>
      </c>
      <c r="BO43" s="26" t="s">
        <v>108</v>
      </c>
      <c r="BP43" s="34" t="s">
        <v>109</v>
      </c>
      <c r="BQ43" s="209">
        <v>4000</v>
      </c>
      <c r="BR43" s="26" t="s">
        <v>108</v>
      </c>
      <c r="BS43" s="34" t="s">
        <v>110</v>
      </c>
      <c r="BT43" s="209">
        <v>5500</v>
      </c>
      <c r="BU43" s="211">
        <v>11000</v>
      </c>
      <c r="BV43" s="212" t="s">
        <v>100</v>
      </c>
      <c r="BW43" s="212" t="s">
        <v>286</v>
      </c>
      <c r="BX43" s="213" t="s">
        <v>100</v>
      </c>
      <c r="BY43" s="213" t="s">
        <v>100</v>
      </c>
      <c r="BZ43" s="45">
        <v>2000</v>
      </c>
    </row>
    <row r="44" spans="1:78" ht="26.25" thickBot="1">
      <c r="A44" s="129">
        <v>11</v>
      </c>
      <c r="B44" s="207" t="s">
        <v>216</v>
      </c>
      <c r="C44" s="1"/>
      <c r="D44" s="296"/>
      <c r="E44" s="299"/>
      <c r="F44" s="345"/>
      <c r="G44" s="74">
        <v>1125</v>
      </c>
      <c r="H44" s="62">
        <v>900</v>
      </c>
      <c r="I44" s="62">
        <v>6000</v>
      </c>
      <c r="J44" s="62">
        <v>6000</v>
      </c>
      <c r="K44" s="62">
        <v>50</v>
      </c>
      <c r="L44" s="62">
        <v>110</v>
      </c>
      <c r="M44" s="101" t="s">
        <v>236</v>
      </c>
      <c r="N44" s="197">
        <f>N18+18925</f>
        <v>270972</v>
      </c>
      <c r="O44" s="62" t="s">
        <v>89</v>
      </c>
      <c r="P44" s="62">
        <v>6</v>
      </c>
      <c r="Q44" s="64" t="s">
        <v>90</v>
      </c>
      <c r="R44" s="64" t="s">
        <v>91</v>
      </c>
      <c r="S44" s="64" t="s">
        <v>91</v>
      </c>
      <c r="T44" s="65" t="s">
        <v>92</v>
      </c>
      <c r="U44" s="65" t="s">
        <v>93</v>
      </c>
      <c r="V44" s="62" t="s">
        <v>94</v>
      </c>
      <c r="W44" s="62">
        <v>31</v>
      </c>
      <c r="X44" s="66" t="s">
        <v>95</v>
      </c>
      <c r="Y44" s="66" t="s">
        <v>96</v>
      </c>
      <c r="Z44" s="102">
        <v>15000</v>
      </c>
      <c r="AA44" s="101" t="s">
        <v>141</v>
      </c>
      <c r="AB44" s="102">
        <v>5100</v>
      </c>
      <c r="AC44" s="62" t="s">
        <v>97</v>
      </c>
      <c r="AD44" s="75" t="s">
        <v>97</v>
      </c>
      <c r="AE44" s="35"/>
      <c r="AF44" s="37">
        <f>AF18+18925</f>
        <v>255492</v>
      </c>
      <c r="AG44" s="29" t="s">
        <v>98</v>
      </c>
      <c r="AH44" s="226">
        <v>20164</v>
      </c>
      <c r="AI44" s="243" t="s">
        <v>293</v>
      </c>
      <c r="AJ44" s="39">
        <v>15000</v>
      </c>
      <c r="AK44" s="39" t="s">
        <v>141</v>
      </c>
      <c r="AL44" s="39">
        <v>4400</v>
      </c>
      <c r="AM44" s="30" t="s">
        <v>99</v>
      </c>
      <c r="AN44" s="40">
        <v>62443</v>
      </c>
      <c r="AO44" s="41" t="s">
        <v>303</v>
      </c>
      <c r="AP44" s="41" t="s">
        <v>306</v>
      </c>
      <c r="AQ44" s="27">
        <v>3000</v>
      </c>
      <c r="AR44" s="27" t="s">
        <v>94</v>
      </c>
      <c r="AS44" s="27">
        <v>900</v>
      </c>
      <c r="AT44" s="29">
        <v>41</v>
      </c>
      <c r="AU44" s="29" t="s">
        <v>100</v>
      </c>
      <c r="AV44" s="31">
        <v>42</v>
      </c>
      <c r="AW44" s="31" t="s">
        <v>100</v>
      </c>
      <c r="AX44" s="42">
        <v>16000</v>
      </c>
      <c r="AY44" s="43" t="s">
        <v>100</v>
      </c>
      <c r="AZ44" s="43" t="s">
        <v>270</v>
      </c>
      <c r="BA44" s="32" t="s">
        <v>94</v>
      </c>
      <c r="BB44" s="32">
        <v>500</v>
      </c>
      <c r="BC44" s="44" t="s">
        <v>102</v>
      </c>
      <c r="BD44" s="33" t="s">
        <v>103</v>
      </c>
      <c r="BE44" s="271" t="s">
        <v>104</v>
      </c>
      <c r="BF44" s="271" t="s">
        <v>105</v>
      </c>
      <c r="BG44" s="269">
        <v>0</v>
      </c>
      <c r="BH44" s="42">
        <v>33000</v>
      </c>
      <c r="BI44" s="47" t="s">
        <v>100</v>
      </c>
      <c r="BJ44" s="32" t="s">
        <v>101</v>
      </c>
      <c r="BK44" s="32" t="s">
        <v>100</v>
      </c>
      <c r="BL44" s="26" t="s">
        <v>106</v>
      </c>
      <c r="BM44" s="26" t="s">
        <v>107</v>
      </c>
      <c r="BN44" s="209">
        <v>0</v>
      </c>
      <c r="BO44" s="26" t="s">
        <v>108</v>
      </c>
      <c r="BP44" s="34" t="s">
        <v>109</v>
      </c>
      <c r="BQ44" s="209">
        <v>4000</v>
      </c>
      <c r="BR44" s="26" t="s">
        <v>108</v>
      </c>
      <c r="BS44" s="34" t="s">
        <v>110</v>
      </c>
      <c r="BT44" s="209">
        <v>5500</v>
      </c>
      <c r="BU44" s="211">
        <v>11000</v>
      </c>
      <c r="BV44" s="212" t="s">
        <v>100</v>
      </c>
      <c r="BW44" s="212" t="s">
        <v>286</v>
      </c>
      <c r="BX44" s="213" t="s">
        <v>100</v>
      </c>
      <c r="BY44" s="213" t="s">
        <v>100</v>
      </c>
      <c r="BZ44" s="45">
        <v>2000</v>
      </c>
    </row>
    <row r="45" spans="1:78" ht="26.25" thickBot="1">
      <c r="A45" s="129">
        <v>8</v>
      </c>
      <c r="B45" s="208" t="s">
        <v>217</v>
      </c>
      <c r="C45" s="1"/>
      <c r="D45" s="296"/>
      <c r="E45" s="299"/>
      <c r="F45" s="345"/>
      <c r="G45" s="92">
        <v>1250</v>
      </c>
      <c r="H45" s="93">
        <v>1000</v>
      </c>
      <c r="I45" s="93">
        <v>6000</v>
      </c>
      <c r="J45" s="93">
        <v>6000</v>
      </c>
      <c r="K45" s="93">
        <v>50</v>
      </c>
      <c r="L45" s="93">
        <v>120</v>
      </c>
      <c r="M45" s="108" t="s">
        <v>236</v>
      </c>
      <c r="N45" s="200">
        <f>N19+20564</f>
        <v>292478</v>
      </c>
      <c r="O45" s="93" t="s">
        <v>89</v>
      </c>
      <c r="P45" s="93">
        <v>6</v>
      </c>
      <c r="Q45" s="96" t="s">
        <v>90</v>
      </c>
      <c r="R45" s="96" t="s">
        <v>91</v>
      </c>
      <c r="S45" s="96" t="s">
        <v>91</v>
      </c>
      <c r="T45" s="97" t="s">
        <v>92</v>
      </c>
      <c r="U45" s="97" t="s">
        <v>93</v>
      </c>
      <c r="V45" s="93" t="s">
        <v>94</v>
      </c>
      <c r="W45" s="93">
        <v>31</v>
      </c>
      <c r="X45" s="98" t="s">
        <v>95</v>
      </c>
      <c r="Y45" s="98" t="s">
        <v>96</v>
      </c>
      <c r="Z45" s="109">
        <v>15000</v>
      </c>
      <c r="AA45" s="108" t="s">
        <v>141</v>
      </c>
      <c r="AB45" s="109">
        <v>5100</v>
      </c>
      <c r="AC45" s="93" t="s">
        <v>97</v>
      </c>
      <c r="AD45" s="100" t="s">
        <v>97</v>
      </c>
      <c r="AE45" s="35"/>
      <c r="AF45" s="37">
        <f>AF19+20564</f>
        <v>277608</v>
      </c>
      <c r="AG45" s="29" t="s">
        <v>98</v>
      </c>
      <c r="AH45" s="218">
        <v>21753</v>
      </c>
      <c r="AI45" s="244" t="s">
        <v>293</v>
      </c>
      <c r="AJ45" s="220">
        <v>15000</v>
      </c>
      <c r="AK45" s="220" t="s">
        <v>141</v>
      </c>
      <c r="AL45" s="220">
        <v>4400</v>
      </c>
      <c r="AM45" s="221" t="s">
        <v>99</v>
      </c>
      <c r="AN45" s="40">
        <v>69135</v>
      </c>
      <c r="AO45" s="41" t="s">
        <v>303</v>
      </c>
      <c r="AP45" s="41" t="s">
        <v>306</v>
      </c>
      <c r="AQ45" s="27">
        <v>3000</v>
      </c>
      <c r="AR45" s="27" t="s">
        <v>94</v>
      </c>
      <c r="AS45" s="27">
        <v>900</v>
      </c>
      <c r="AT45" s="29">
        <v>41</v>
      </c>
      <c r="AU45" s="29" t="s">
        <v>100</v>
      </c>
      <c r="AV45" s="31">
        <v>42</v>
      </c>
      <c r="AW45" s="31" t="s">
        <v>100</v>
      </c>
      <c r="AX45" s="42">
        <v>16000</v>
      </c>
      <c r="AY45" s="43" t="s">
        <v>100</v>
      </c>
      <c r="AZ45" s="43" t="s">
        <v>270</v>
      </c>
      <c r="BA45" s="32" t="s">
        <v>94</v>
      </c>
      <c r="BB45" s="32">
        <v>500</v>
      </c>
      <c r="BC45" s="44" t="s">
        <v>102</v>
      </c>
      <c r="BD45" s="33" t="s">
        <v>103</v>
      </c>
      <c r="BE45" s="271" t="s">
        <v>104</v>
      </c>
      <c r="BF45" s="271" t="s">
        <v>105</v>
      </c>
      <c r="BG45" s="269">
        <v>0</v>
      </c>
      <c r="BH45" s="42">
        <v>33000</v>
      </c>
      <c r="BI45" s="47" t="s">
        <v>100</v>
      </c>
      <c r="BJ45" s="32" t="s">
        <v>101</v>
      </c>
      <c r="BK45" s="32" t="s">
        <v>100</v>
      </c>
      <c r="BL45" s="26" t="s">
        <v>106</v>
      </c>
      <c r="BM45" s="26" t="s">
        <v>107</v>
      </c>
      <c r="BN45" s="209">
        <v>0</v>
      </c>
      <c r="BO45" s="26" t="s">
        <v>108</v>
      </c>
      <c r="BP45" s="34" t="s">
        <v>109</v>
      </c>
      <c r="BQ45" s="209">
        <v>4000</v>
      </c>
      <c r="BR45" s="26" t="s">
        <v>108</v>
      </c>
      <c r="BS45" s="34" t="s">
        <v>110</v>
      </c>
      <c r="BT45" s="209">
        <v>5500</v>
      </c>
      <c r="BU45" s="211">
        <v>11000</v>
      </c>
      <c r="BV45" s="212" t="s">
        <v>100</v>
      </c>
      <c r="BW45" s="212" t="s">
        <v>286</v>
      </c>
      <c r="BX45" s="213" t="s">
        <v>100</v>
      </c>
      <c r="BY45" s="213" t="s">
        <v>100</v>
      </c>
      <c r="BZ45" s="45">
        <v>2000</v>
      </c>
    </row>
    <row r="46" spans="1:78" ht="26.25" thickBot="1">
      <c r="A46" s="129">
        <v>12</v>
      </c>
      <c r="B46" s="208" t="s">
        <v>218</v>
      </c>
      <c r="C46" s="1"/>
      <c r="D46" s="296"/>
      <c r="E46" s="299"/>
      <c r="F46" s="345"/>
      <c r="G46" s="67">
        <v>1400</v>
      </c>
      <c r="H46" s="68">
        <v>1120</v>
      </c>
      <c r="I46" s="68">
        <v>6000</v>
      </c>
      <c r="J46" s="68">
        <v>6000</v>
      </c>
      <c r="K46" s="68">
        <v>50</v>
      </c>
      <c r="L46" s="68">
        <v>135</v>
      </c>
      <c r="M46" s="83" t="s">
        <v>237</v>
      </c>
      <c r="N46" s="196">
        <f>N20+20939</f>
        <v>301031</v>
      </c>
      <c r="O46" s="68" t="s">
        <v>89</v>
      </c>
      <c r="P46" s="68">
        <v>6</v>
      </c>
      <c r="Q46" s="70" t="s">
        <v>90</v>
      </c>
      <c r="R46" s="70" t="s">
        <v>91</v>
      </c>
      <c r="S46" s="70" t="s">
        <v>91</v>
      </c>
      <c r="T46" s="71" t="s">
        <v>92</v>
      </c>
      <c r="U46" s="71" t="s">
        <v>93</v>
      </c>
      <c r="V46" s="68" t="s">
        <v>94</v>
      </c>
      <c r="W46" s="68">
        <v>31</v>
      </c>
      <c r="X46" s="72" t="s">
        <v>95</v>
      </c>
      <c r="Y46" s="72" t="s">
        <v>96</v>
      </c>
      <c r="Z46" s="86">
        <v>17000</v>
      </c>
      <c r="AA46" s="83" t="s">
        <v>142</v>
      </c>
      <c r="AB46" s="86">
        <v>5100</v>
      </c>
      <c r="AC46" s="68" t="s">
        <v>97</v>
      </c>
      <c r="AD46" s="73" t="s">
        <v>97</v>
      </c>
      <c r="AE46" s="35"/>
      <c r="AF46" s="37">
        <f>AF20+20939</f>
        <v>282679</v>
      </c>
      <c r="AG46" s="29" t="s">
        <v>98</v>
      </c>
      <c r="AH46" s="222">
        <v>22407</v>
      </c>
      <c r="AI46" s="222" t="s">
        <v>310</v>
      </c>
      <c r="AJ46" s="224">
        <v>15000</v>
      </c>
      <c r="AK46" s="224" t="s">
        <v>186</v>
      </c>
      <c r="AL46" s="224">
        <v>5655</v>
      </c>
      <c r="AM46" s="225" t="s">
        <v>99</v>
      </c>
      <c r="AN46" s="235">
        <v>69135</v>
      </c>
      <c r="AO46" s="236" t="s">
        <v>303</v>
      </c>
      <c r="AP46" s="236" t="s">
        <v>306</v>
      </c>
      <c r="AQ46" s="237">
        <v>3000</v>
      </c>
      <c r="AR46" s="237" t="s">
        <v>94</v>
      </c>
      <c r="AS46" s="237">
        <v>900</v>
      </c>
      <c r="AT46" s="29">
        <v>41</v>
      </c>
      <c r="AU46" s="29" t="s">
        <v>100</v>
      </c>
      <c r="AV46" s="31">
        <v>42</v>
      </c>
      <c r="AW46" s="31" t="s">
        <v>100</v>
      </c>
      <c r="AX46" s="42">
        <v>16000</v>
      </c>
      <c r="AY46" s="43" t="s">
        <v>100</v>
      </c>
      <c r="AZ46" s="43" t="s">
        <v>270</v>
      </c>
      <c r="BA46" s="32" t="s">
        <v>94</v>
      </c>
      <c r="BB46" s="32">
        <v>500</v>
      </c>
      <c r="BC46" s="44" t="s">
        <v>102</v>
      </c>
      <c r="BD46" s="33" t="s">
        <v>103</v>
      </c>
      <c r="BE46" s="271" t="s">
        <v>104</v>
      </c>
      <c r="BF46" s="271" t="s">
        <v>105</v>
      </c>
      <c r="BG46" s="269">
        <v>0</v>
      </c>
      <c r="BH46" s="42">
        <v>33000</v>
      </c>
      <c r="BI46" s="47" t="s">
        <v>100</v>
      </c>
      <c r="BJ46" s="32" t="s">
        <v>101</v>
      </c>
      <c r="BK46" s="32" t="s">
        <v>100</v>
      </c>
      <c r="BL46" s="26" t="s">
        <v>106</v>
      </c>
      <c r="BM46" s="26" t="s">
        <v>107</v>
      </c>
      <c r="BN46" s="209">
        <v>0</v>
      </c>
      <c r="BO46" s="26" t="s">
        <v>108</v>
      </c>
      <c r="BP46" s="34" t="s">
        <v>109</v>
      </c>
      <c r="BQ46" s="209">
        <v>4000</v>
      </c>
      <c r="BR46" s="26" t="s">
        <v>108</v>
      </c>
      <c r="BS46" s="34" t="s">
        <v>110</v>
      </c>
      <c r="BT46" s="209">
        <v>5500</v>
      </c>
      <c r="BU46" s="211">
        <v>11000</v>
      </c>
      <c r="BV46" s="212" t="s">
        <v>100</v>
      </c>
      <c r="BW46" s="212" t="s">
        <v>286</v>
      </c>
      <c r="BX46" s="213" t="s">
        <v>100</v>
      </c>
      <c r="BY46" s="213" t="s">
        <v>100</v>
      </c>
      <c r="BZ46" s="45">
        <v>2000</v>
      </c>
    </row>
    <row r="47" spans="1:78" ht="26.25" thickBot="1">
      <c r="B47" s="126"/>
      <c r="C47" s="1"/>
      <c r="D47" s="296"/>
      <c r="E47" s="299"/>
      <c r="F47" s="345"/>
      <c r="G47" s="76">
        <v>1565</v>
      </c>
      <c r="H47" s="77">
        <v>1250</v>
      </c>
      <c r="I47" s="77">
        <v>6000</v>
      </c>
      <c r="J47" s="77">
        <v>6000</v>
      </c>
      <c r="K47" s="77">
        <v>50</v>
      </c>
      <c r="L47" s="77">
        <v>152</v>
      </c>
      <c r="M47" s="85" t="s">
        <v>237</v>
      </c>
      <c r="N47" s="198">
        <f>N21+23915</f>
        <v>343798</v>
      </c>
      <c r="O47" s="77" t="s">
        <v>89</v>
      </c>
      <c r="P47" s="77">
        <v>6</v>
      </c>
      <c r="Q47" s="79" t="s">
        <v>90</v>
      </c>
      <c r="R47" s="79" t="s">
        <v>91</v>
      </c>
      <c r="S47" s="79" t="s">
        <v>91</v>
      </c>
      <c r="T47" s="80" t="s">
        <v>92</v>
      </c>
      <c r="U47" s="80" t="s">
        <v>93</v>
      </c>
      <c r="V47" s="77" t="s">
        <v>94</v>
      </c>
      <c r="W47" s="77">
        <v>31</v>
      </c>
      <c r="X47" s="81" t="s">
        <v>95</v>
      </c>
      <c r="Y47" s="81" t="s">
        <v>96</v>
      </c>
      <c r="Z47" s="88">
        <v>17000</v>
      </c>
      <c r="AA47" s="85" t="s">
        <v>142</v>
      </c>
      <c r="AB47" s="88">
        <v>5100</v>
      </c>
      <c r="AC47" s="77" t="s">
        <v>97</v>
      </c>
      <c r="AD47" s="82" t="s">
        <v>97</v>
      </c>
      <c r="AE47" s="35"/>
      <c r="AF47" s="37">
        <f>AF21+23915</f>
        <v>322854</v>
      </c>
      <c r="AG47" s="29" t="s">
        <v>98</v>
      </c>
      <c r="AH47" s="218">
        <v>25591</v>
      </c>
      <c r="AI47" s="218" t="s">
        <v>310</v>
      </c>
      <c r="AJ47" s="220">
        <v>15000</v>
      </c>
      <c r="AK47" s="220" t="s">
        <v>186</v>
      </c>
      <c r="AL47" s="220">
        <v>5655</v>
      </c>
      <c r="AM47" s="221" t="s">
        <v>99</v>
      </c>
      <c r="AN47" s="238">
        <v>69135</v>
      </c>
      <c r="AO47" s="239" t="s">
        <v>304</v>
      </c>
      <c r="AP47" s="239" t="s">
        <v>307</v>
      </c>
      <c r="AQ47" s="240">
        <v>3000</v>
      </c>
      <c r="AR47" s="240" t="s">
        <v>94</v>
      </c>
      <c r="AS47" s="240">
        <v>1500</v>
      </c>
      <c r="AT47" s="29">
        <v>41</v>
      </c>
      <c r="AU47" s="29" t="s">
        <v>100</v>
      </c>
      <c r="AV47" s="31">
        <v>42</v>
      </c>
      <c r="AW47" s="31" t="s">
        <v>100</v>
      </c>
      <c r="AX47" s="42">
        <v>16000</v>
      </c>
      <c r="AY47" s="43" t="s">
        <v>100</v>
      </c>
      <c r="AZ47" s="43" t="s">
        <v>270</v>
      </c>
      <c r="BA47" s="32" t="s">
        <v>94</v>
      </c>
      <c r="BB47" s="32">
        <v>500</v>
      </c>
      <c r="BC47" s="44" t="s">
        <v>102</v>
      </c>
      <c r="BD47" s="33" t="s">
        <v>103</v>
      </c>
      <c r="BE47" s="271" t="s">
        <v>104</v>
      </c>
      <c r="BF47" s="271" t="s">
        <v>105</v>
      </c>
      <c r="BG47" s="269">
        <v>0</v>
      </c>
      <c r="BH47" s="42">
        <v>35000</v>
      </c>
      <c r="BI47" s="47" t="s">
        <v>100</v>
      </c>
      <c r="BJ47" s="32" t="s">
        <v>101</v>
      </c>
      <c r="BK47" s="32" t="s">
        <v>100</v>
      </c>
      <c r="BL47" s="26" t="s">
        <v>106</v>
      </c>
      <c r="BM47" s="26" t="s">
        <v>107</v>
      </c>
      <c r="BN47" s="209">
        <v>0</v>
      </c>
      <c r="BO47" s="26" t="s">
        <v>108</v>
      </c>
      <c r="BP47" s="34" t="s">
        <v>109</v>
      </c>
      <c r="BQ47" s="209">
        <v>4000</v>
      </c>
      <c r="BR47" s="26" t="s">
        <v>108</v>
      </c>
      <c r="BS47" s="34" t="s">
        <v>110</v>
      </c>
      <c r="BT47" s="209">
        <v>5500</v>
      </c>
      <c r="BU47" s="211">
        <v>11000</v>
      </c>
      <c r="BV47" s="212" t="s">
        <v>100</v>
      </c>
      <c r="BW47" s="212" t="s">
        <v>286</v>
      </c>
      <c r="BX47" s="213" t="s">
        <v>100</v>
      </c>
      <c r="BY47" s="213" t="s">
        <v>100</v>
      </c>
      <c r="BZ47" s="45">
        <v>2000</v>
      </c>
    </row>
    <row r="48" spans="1:78" ht="26.25" thickBot="1">
      <c r="B48" s="123" t="s">
        <v>156</v>
      </c>
      <c r="C48" s="1"/>
      <c r="D48" s="296"/>
      <c r="E48" s="299"/>
      <c r="F48" s="345"/>
      <c r="G48" s="110">
        <v>1750</v>
      </c>
      <c r="H48" s="56">
        <v>1400</v>
      </c>
      <c r="I48" s="56">
        <v>6000</v>
      </c>
      <c r="J48" s="56">
        <v>6000</v>
      </c>
      <c r="K48" s="56">
        <v>50</v>
      </c>
      <c r="L48" s="56">
        <v>170</v>
      </c>
      <c r="M48" s="89" t="s">
        <v>246</v>
      </c>
      <c r="N48" s="203">
        <f>N22+25081</f>
        <v>362433</v>
      </c>
      <c r="O48" s="56" t="s">
        <v>89</v>
      </c>
      <c r="P48" s="56">
        <v>6</v>
      </c>
      <c r="Q48" s="58" t="s">
        <v>90</v>
      </c>
      <c r="R48" s="58" t="s">
        <v>91</v>
      </c>
      <c r="S48" s="58" t="s">
        <v>91</v>
      </c>
      <c r="T48" s="59" t="s">
        <v>92</v>
      </c>
      <c r="U48" s="59" t="s">
        <v>93</v>
      </c>
      <c r="V48" s="56" t="s">
        <v>94</v>
      </c>
      <c r="W48" s="56">
        <v>31</v>
      </c>
      <c r="X48" s="60" t="s">
        <v>95</v>
      </c>
      <c r="Y48" s="60" t="s">
        <v>96</v>
      </c>
      <c r="Z48" s="90">
        <v>18000</v>
      </c>
      <c r="AA48" s="89" t="s">
        <v>274</v>
      </c>
      <c r="AB48" s="91">
        <v>6050</v>
      </c>
      <c r="AC48" s="56" t="s">
        <v>97</v>
      </c>
      <c r="AD48" s="137" t="s">
        <v>97</v>
      </c>
      <c r="AE48" s="35"/>
      <c r="AF48" s="37">
        <f>AF22+25081</f>
        <v>338589</v>
      </c>
      <c r="AG48" s="29" t="s">
        <v>98</v>
      </c>
      <c r="AH48" s="222">
        <v>26988</v>
      </c>
      <c r="AI48" s="222" t="s">
        <v>311</v>
      </c>
      <c r="AJ48" s="224">
        <v>21000</v>
      </c>
      <c r="AK48" s="224" t="s">
        <v>187</v>
      </c>
      <c r="AL48" s="224">
        <v>9030</v>
      </c>
      <c r="AM48" s="225" t="s">
        <v>99</v>
      </c>
      <c r="AN48" s="40">
        <v>69135</v>
      </c>
      <c r="AO48" s="41" t="s">
        <v>304</v>
      </c>
      <c r="AP48" s="41" t="s">
        <v>307</v>
      </c>
      <c r="AQ48" s="27">
        <v>3000</v>
      </c>
      <c r="AR48" s="27" t="s">
        <v>94</v>
      </c>
      <c r="AS48" s="27">
        <v>1500</v>
      </c>
      <c r="AT48" s="29">
        <v>41</v>
      </c>
      <c r="AU48" s="29" t="s">
        <v>100</v>
      </c>
      <c r="AV48" s="31">
        <v>42</v>
      </c>
      <c r="AW48" s="31" t="s">
        <v>100</v>
      </c>
      <c r="AX48" s="42">
        <v>16000</v>
      </c>
      <c r="AY48" s="43" t="s">
        <v>100</v>
      </c>
      <c r="AZ48" s="43" t="s">
        <v>270</v>
      </c>
      <c r="BA48" s="32" t="s">
        <v>94</v>
      </c>
      <c r="BB48" s="32">
        <v>500</v>
      </c>
      <c r="BC48" s="44" t="s">
        <v>102</v>
      </c>
      <c r="BD48" s="33" t="s">
        <v>103</v>
      </c>
      <c r="BE48" s="271" t="s">
        <v>104</v>
      </c>
      <c r="BF48" s="271" t="s">
        <v>105</v>
      </c>
      <c r="BG48" s="269">
        <v>0</v>
      </c>
      <c r="BH48" s="42">
        <v>35000</v>
      </c>
      <c r="BI48" s="47" t="s">
        <v>100</v>
      </c>
      <c r="BJ48" s="32" t="s">
        <v>101</v>
      </c>
      <c r="BK48" s="32" t="s">
        <v>100</v>
      </c>
      <c r="BL48" s="26" t="s">
        <v>106</v>
      </c>
      <c r="BM48" s="26" t="s">
        <v>107</v>
      </c>
      <c r="BN48" s="209">
        <v>0</v>
      </c>
      <c r="BO48" s="26" t="s">
        <v>108</v>
      </c>
      <c r="BP48" s="34" t="s">
        <v>109</v>
      </c>
      <c r="BQ48" s="209">
        <v>4000</v>
      </c>
      <c r="BR48" s="26" t="s">
        <v>108</v>
      </c>
      <c r="BS48" s="34" t="s">
        <v>110</v>
      </c>
      <c r="BT48" s="209">
        <v>5500</v>
      </c>
      <c r="BU48" s="211">
        <v>11000</v>
      </c>
      <c r="BV48" s="212" t="s">
        <v>100</v>
      </c>
      <c r="BW48" s="212" t="s">
        <v>286</v>
      </c>
      <c r="BX48" s="213" t="s">
        <v>100</v>
      </c>
      <c r="BY48" s="213" t="s">
        <v>100</v>
      </c>
      <c r="BZ48" s="45">
        <v>2000</v>
      </c>
    </row>
    <row r="49" spans="2:78" ht="26.25" thickBot="1">
      <c r="B49" s="124" t="s">
        <v>157</v>
      </c>
      <c r="C49" s="1"/>
      <c r="D49" s="296"/>
      <c r="E49" s="299"/>
      <c r="F49" s="345"/>
      <c r="G49" s="110">
        <v>2000</v>
      </c>
      <c r="H49" s="56">
        <v>1600</v>
      </c>
      <c r="I49" s="56">
        <v>6000</v>
      </c>
      <c r="J49" s="56">
        <v>6000</v>
      </c>
      <c r="K49" s="56">
        <v>50</v>
      </c>
      <c r="L49" s="56">
        <v>195</v>
      </c>
      <c r="M49" s="105" t="s">
        <v>247</v>
      </c>
      <c r="N49" s="203">
        <f>N23+28970</f>
        <v>418700</v>
      </c>
      <c r="O49" s="56" t="s">
        <v>89</v>
      </c>
      <c r="P49" s="56">
        <v>6</v>
      </c>
      <c r="Q49" s="58" t="s">
        <v>90</v>
      </c>
      <c r="R49" s="58" t="s">
        <v>91</v>
      </c>
      <c r="S49" s="58" t="s">
        <v>91</v>
      </c>
      <c r="T49" s="59" t="s">
        <v>92</v>
      </c>
      <c r="U49" s="59" t="s">
        <v>93</v>
      </c>
      <c r="V49" s="56" t="s">
        <v>94</v>
      </c>
      <c r="W49" s="56">
        <v>31</v>
      </c>
      <c r="X49" s="60" t="s">
        <v>95</v>
      </c>
      <c r="Y49" s="60" t="s">
        <v>96</v>
      </c>
      <c r="Z49" s="106">
        <v>20000</v>
      </c>
      <c r="AA49" s="105" t="s">
        <v>275</v>
      </c>
      <c r="AB49" s="107">
        <v>6950</v>
      </c>
      <c r="AC49" s="56" t="s">
        <v>97</v>
      </c>
      <c r="AD49" s="137" t="s">
        <v>97</v>
      </c>
      <c r="AE49" s="35"/>
      <c r="AF49" s="37">
        <f>AF23+28970</f>
        <v>391100</v>
      </c>
      <c r="AG49" s="29" t="s">
        <v>98</v>
      </c>
      <c r="AH49" s="226">
        <v>31178</v>
      </c>
      <c r="AI49" s="226" t="s">
        <v>311</v>
      </c>
      <c r="AJ49" s="39">
        <v>21000</v>
      </c>
      <c r="AK49" s="39" t="s">
        <v>187</v>
      </c>
      <c r="AL49" s="39">
        <v>9030</v>
      </c>
      <c r="AM49" s="30" t="s">
        <v>99</v>
      </c>
      <c r="AN49" s="40">
        <v>69135</v>
      </c>
      <c r="AO49" s="41" t="s">
        <v>304</v>
      </c>
      <c r="AP49" s="41" t="s">
        <v>307</v>
      </c>
      <c r="AQ49" s="27">
        <v>3000</v>
      </c>
      <c r="AR49" s="27" t="s">
        <v>94</v>
      </c>
      <c r="AS49" s="27">
        <v>1500</v>
      </c>
      <c r="AT49" s="29">
        <v>41</v>
      </c>
      <c r="AU49" s="29" t="s">
        <v>100</v>
      </c>
      <c r="AV49" s="31">
        <v>42</v>
      </c>
      <c r="AW49" s="31" t="s">
        <v>100</v>
      </c>
      <c r="AX49" s="42">
        <v>16000</v>
      </c>
      <c r="AY49" s="43" t="s">
        <v>100</v>
      </c>
      <c r="AZ49" s="43" t="s">
        <v>270</v>
      </c>
      <c r="BA49" s="32" t="s">
        <v>94</v>
      </c>
      <c r="BB49" s="32">
        <v>500</v>
      </c>
      <c r="BC49" s="44" t="s">
        <v>102</v>
      </c>
      <c r="BD49" s="33" t="s">
        <v>103</v>
      </c>
      <c r="BE49" s="271" t="s">
        <v>104</v>
      </c>
      <c r="BF49" s="271" t="s">
        <v>105</v>
      </c>
      <c r="BG49" s="269">
        <v>0</v>
      </c>
      <c r="BH49" s="42">
        <v>36500</v>
      </c>
      <c r="BI49" s="47" t="s">
        <v>100</v>
      </c>
      <c r="BJ49" s="32" t="s">
        <v>101</v>
      </c>
      <c r="BK49" s="32" t="s">
        <v>100</v>
      </c>
      <c r="BL49" s="26" t="s">
        <v>106</v>
      </c>
      <c r="BM49" s="26" t="s">
        <v>107</v>
      </c>
      <c r="BN49" s="209">
        <v>0</v>
      </c>
      <c r="BO49" s="26" t="s">
        <v>108</v>
      </c>
      <c r="BP49" s="34" t="s">
        <v>109</v>
      </c>
      <c r="BQ49" s="209">
        <v>4000</v>
      </c>
      <c r="BR49" s="26" t="s">
        <v>108</v>
      </c>
      <c r="BS49" s="34" t="s">
        <v>110</v>
      </c>
      <c r="BT49" s="209">
        <v>5500</v>
      </c>
      <c r="BU49" s="211">
        <v>11000</v>
      </c>
      <c r="BV49" s="212" t="s">
        <v>100</v>
      </c>
      <c r="BW49" s="212" t="s">
        <v>286</v>
      </c>
      <c r="BX49" s="213" t="s">
        <v>100</v>
      </c>
      <c r="BY49" s="213" t="s">
        <v>100</v>
      </c>
      <c r="BZ49" s="45">
        <v>2000</v>
      </c>
    </row>
    <row r="50" spans="2:78" ht="26.25" thickBot="1">
      <c r="B50" s="125" t="s">
        <v>158</v>
      </c>
      <c r="C50" s="1"/>
      <c r="D50" s="296"/>
      <c r="E50" s="299"/>
      <c r="F50" s="345"/>
      <c r="G50" s="110">
        <v>2500</v>
      </c>
      <c r="H50" s="56">
        <v>2000</v>
      </c>
      <c r="I50" s="56">
        <v>6000</v>
      </c>
      <c r="J50" s="56">
        <v>6000</v>
      </c>
      <c r="K50" s="56">
        <v>50</v>
      </c>
      <c r="L50" s="56">
        <v>240</v>
      </c>
      <c r="M50" s="89" t="s">
        <v>248</v>
      </c>
      <c r="N50" s="203">
        <f>N24+31141</f>
        <v>462910</v>
      </c>
      <c r="O50" s="56" t="s">
        <v>89</v>
      </c>
      <c r="P50" s="56">
        <v>6</v>
      </c>
      <c r="Q50" s="58" t="s">
        <v>90</v>
      </c>
      <c r="R50" s="58" t="s">
        <v>91</v>
      </c>
      <c r="S50" s="58" t="s">
        <v>91</v>
      </c>
      <c r="T50" s="59" t="s">
        <v>92</v>
      </c>
      <c r="U50" s="59" t="s">
        <v>93</v>
      </c>
      <c r="V50" s="56" t="s">
        <v>94</v>
      </c>
      <c r="W50" s="56">
        <v>31</v>
      </c>
      <c r="X50" s="60" t="s">
        <v>95</v>
      </c>
      <c r="Y50" s="60" t="s">
        <v>96</v>
      </c>
      <c r="Z50" s="90">
        <v>21000</v>
      </c>
      <c r="AA50" s="89" t="s">
        <v>187</v>
      </c>
      <c r="AB50" s="91">
        <v>8930</v>
      </c>
      <c r="AC50" s="56" t="s">
        <v>97</v>
      </c>
      <c r="AD50" s="137" t="s">
        <v>97</v>
      </c>
      <c r="AE50" s="35"/>
      <c r="AF50" s="37">
        <f>AF24+31141</f>
        <v>420405</v>
      </c>
      <c r="AG50" s="29" t="s">
        <v>98</v>
      </c>
      <c r="AH50" s="218">
        <v>34542</v>
      </c>
      <c r="AI50" s="218" t="s">
        <v>311</v>
      </c>
      <c r="AJ50" s="220">
        <v>21000</v>
      </c>
      <c r="AK50" s="220" t="s">
        <v>187</v>
      </c>
      <c r="AL50" s="220">
        <v>9030</v>
      </c>
      <c r="AM50" s="221" t="s">
        <v>99</v>
      </c>
      <c r="AN50" s="40">
        <v>82967</v>
      </c>
      <c r="AO50" s="41" t="s">
        <v>304</v>
      </c>
      <c r="AP50" s="41" t="s">
        <v>307</v>
      </c>
      <c r="AQ50" s="27">
        <v>3000</v>
      </c>
      <c r="AR50" s="27" t="s">
        <v>94</v>
      </c>
      <c r="AS50" s="27">
        <v>1500</v>
      </c>
      <c r="AT50" s="29">
        <v>41</v>
      </c>
      <c r="AU50" s="29" t="s">
        <v>100</v>
      </c>
      <c r="AV50" s="31">
        <v>42</v>
      </c>
      <c r="AW50" s="31" t="s">
        <v>100</v>
      </c>
      <c r="AX50" s="42">
        <v>16000</v>
      </c>
      <c r="AY50" s="43" t="s">
        <v>100</v>
      </c>
      <c r="AZ50" s="43" t="s">
        <v>270</v>
      </c>
      <c r="BA50" s="32" t="s">
        <v>94</v>
      </c>
      <c r="BB50" s="32">
        <v>500</v>
      </c>
      <c r="BC50" s="44" t="s">
        <v>102</v>
      </c>
      <c r="BD50" s="33" t="s">
        <v>103</v>
      </c>
      <c r="BE50" s="271" t="s">
        <v>104</v>
      </c>
      <c r="BF50" s="271" t="s">
        <v>105</v>
      </c>
      <c r="BG50" s="269">
        <v>0</v>
      </c>
      <c r="BH50" s="42">
        <v>36500</v>
      </c>
      <c r="BI50" s="47" t="s">
        <v>100</v>
      </c>
      <c r="BJ50" s="32" t="s">
        <v>101</v>
      </c>
      <c r="BK50" s="32" t="s">
        <v>100</v>
      </c>
      <c r="BL50" s="26" t="s">
        <v>106</v>
      </c>
      <c r="BM50" s="26" t="s">
        <v>107</v>
      </c>
      <c r="BN50" s="209">
        <v>0</v>
      </c>
      <c r="BO50" s="26" t="s">
        <v>108</v>
      </c>
      <c r="BP50" s="34" t="s">
        <v>109</v>
      </c>
      <c r="BQ50" s="209">
        <v>4000</v>
      </c>
      <c r="BR50" s="26" t="s">
        <v>108</v>
      </c>
      <c r="BS50" s="34" t="s">
        <v>110</v>
      </c>
      <c r="BT50" s="209">
        <v>5500</v>
      </c>
      <c r="BU50" s="211">
        <v>11000</v>
      </c>
      <c r="BV50" s="212" t="s">
        <v>100</v>
      </c>
      <c r="BW50" s="212" t="s">
        <v>286</v>
      </c>
      <c r="BX50" s="213" t="s">
        <v>100</v>
      </c>
      <c r="BY50" s="213" t="s">
        <v>100</v>
      </c>
      <c r="BZ50" s="45">
        <v>2000</v>
      </c>
    </row>
    <row r="51" spans="2:78" ht="26.25" thickBot="1">
      <c r="B51" s="127" t="s">
        <v>178</v>
      </c>
      <c r="C51" s="36"/>
      <c r="D51" s="296"/>
      <c r="E51" s="299"/>
      <c r="F51" s="345"/>
      <c r="G51" s="110">
        <v>3125</v>
      </c>
      <c r="H51" s="56">
        <v>2500</v>
      </c>
      <c r="I51" s="56">
        <v>6000</v>
      </c>
      <c r="J51" s="56">
        <v>6000</v>
      </c>
      <c r="K51" s="56">
        <v>50</v>
      </c>
      <c r="L51" s="56">
        <v>305</v>
      </c>
      <c r="M51" s="105" t="s">
        <v>249</v>
      </c>
      <c r="N51" s="203">
        <f>N25+45110</f>
        <v>638573</v>
      </c>
      <c r="O51" s="56" t="s">
        <v>89</v>
      </c>
      <c r="P51" s="56">
        <v>6</v>
      </c>
      <c r="Q51" s="58" t="s">
        <v>90</v>
      </c>
      <c r="R51" s="58" t="s">
        <v>91</v>
      </c>
      <c r="S51" s="58" t="s">
        <v>91</v>
      </c>
      <c r="T51" s="59" t="s">
        <v>92</v>
      </c>
      <c r="U51" s="59" t="s">
        <v>93</v>
      </c>
      <c r="V51" s="56" t="s">
        <v>99</v>
      </c>
      <c r="W51" s="56">
        <v>31</v>
      </c>
      <c r="X51" s="60" t="s">
        <v>95</v>
      </c>
      <c r="Y51" s="60" t="s">
        <v>96</v>
      </c>
      <c r="Z51" s="106">
        <v>25000</v>
      </c>
      <c r="AA51" s="105" t="s">
        <v>179</v>
      </c>
      <c r="AB51" s="107">
        <v>11420</v>
      </c>
      <c r="AC51" s="111" t="s">
        <v>145</v>
      </c>
      <c r="AD51" s="138" t="s">
        <v>146</v>
      </c>
      <c r="AE51" s="35"/>
      <c r="AF51" s="37">
        <f>AF25+45110</f>
        <v>608991</v>
      </c>
      <c r="AG51" s="29" t="s">
        <v>98</v>
      </c>
      <c r="AH51" s="228">
        <v>47477</v>
      </c>
      <c r="AI51" s="228" t="s">
        <v>312</v>
      </c>
      <c r="AJ51" s="230">
        <v>25000</v>
      </c>
      <c r="AK51" s="230" t="s">
        <v>179</v>
      </c>
      <c r="AL51" s="230">
        <v>12045</v>
      </c>
      <c r="AM51" s="231" t="s">
        <v>99</v>
      </c>
      <c r="AN51" s="40">
        <v>97922</v>
      </c>
      <c r="AO51" s="41" t="s">
        <v>304</v>
      </c>
      <c r="AP51" s="41" t="s">
        <v>307</v>
      </c>
      <c r="AQ51" s="27">
        <v>3000</v>
      </c>
      <c r="AR51" s="27" t="s">
        <v>94</v>
      </c>
      <c r="AS51" s="27">
        <v>1500</v>
      </c>
      <c r="AT51" s="29">
        <v>41</v>
      </c>
      <c r="AU51" s="29" t="s">
        <v>100</v>
      </c>
      <c r="AV51" s="31">
        <v>42</v>
      </c>
      <c r="AW51" s="31" t="s">
        <v>100</v>
      </c>
      <c r="AX51" s="347" t="s">
        <v>271</v>
      </c>
      <c r="AY51" s="348"/>
      <c r="AZ51" s="348"/>
      <c r="BA51" s="348"/>
      <c r="BB51" s="349"/>
      <c r="BC51" s="44" t="s">
        <v>102</v>
      </c>
      <c r="BD51" s="33" t="s">
        <v>103</v>
      </c>
      <c r="BE51" s="271" t="s">
        <v>104</v>
      </c>
      <c r="BF51" s="271" t="s">
        <v>105</v>
      </c>
      <c r="BG51" s="269">
        <v>0</v>
      </c>
      <c r="BH51" s="42">
        <v>41000</v>
      </c>
      <c r="BI51" s="47" t="s">
        <v>100</v>
      </c>
      <c r="BJ51" s="32" t="s">
        <v>101</v>
      </c>
      <c r="BK51" s="32" t="s">
        <v>100</v>
      </c>
      <c r="BL51" s="26" t="s">
        <v>106</v>
      </c>
      <c r="BM51" s="26" t="s">
        <v>107</v>
      </c>
      <c r="BN51" s="209">
        <v>0</v>
      </c>
      <c r="BO51" s="26" t="s">
        <v>108</v>
      </c>
      <c r="BP51" s="34" t="s">
        <v>109</v>
      </c>
      <c r="BQ51" s="209">
        <v>4000</v>
      </c>
      <c r="BR51" s="26" t="s">
        <v>108</v>
      </c>
      <c r="BS51" s="34" t="s">
        <v>110</v>
      </c>
      <c r="BT51" s="209">
        <v>5500</v>
      </c>
      <c r="BU51" s="211">
        <v>11000</v>
      </c>
      <c r="BV51" s="212" t="s">
        <v>100</v>
      </c>
      <c r="BW51" s="212" t="s">
        <v>286</v>
      </c>
      <c r="BX51" s="213" t="s">
        <v>100</v>
      </c>
      <c r="BY51" s="213" t="s">
        <v>100</v>
      </c>
      <c r="BZ51" s="45">
        <v>2000</v>
      </c>
    </row>
    <row r="52" spans="2:78" ht="26.25" thickBot="1">
      <c r="B52" s="123" t="s">
        <v>159</v>
      </c>
      <c r="C52" s="36"/>
      <c r="D52" s="296"/>
      <c r="E52" s="299"/>
      <c r="F52" s="345"/>
      <c r="G52" s="110">
        <v>3940</v>
      </c>
      <c r="H52" s="56">
        <v>3150</v>
      </c>
      <c r="I52" s="56">
        <v>6000</v>
      </c>
      <c r="J52" s="56">
        <v>6000</v>
      </c>
      <c r="K52" s="56">
        <v>50</v>
      </c>
      <c r="L52" s="56">
        <v>380</v>
      </c>
      <c r="M52" s="89" t="s">
        <v>250</v>
      </c>
      <c r="N52" s="203">
        <f>N26+49867</f>
        <v>718813</v>
      </c>
      <c r="O52" s="56" t="s">
        <v>89</v>
      </c>
      <c r="P52" s="56">
        <v>6</v>
      </c>
      <c r="Q52" s="58" t="s">
        <v>90</v>
      </c>
      <c r="R52" s="58" t="s">
        <v>91</v>
      </c>
      <c r="S52" s="58" t="s">
        <v>91</v>
      </c>
      <c r="T52" s="59" t="s">
        <v>92</v>
      </c>
      <c r="U52" s="59" t="s">
        <v>93</v>
      </c>
      <c r="V52" s="56" t="s">
        <v>99</v>
      </c>
      <c r="W52" s="56">
        <v>31</v>
      </c>
      <c r="X52" s="60" t="s">
        <v>95</v>
      </c>
      <c r="Y52" s="60" t="s">
        <v>96</v>
      </c>
      <c r="Z52" s="90">
        <v>36000</v>
      </c>
      <c r="AA52" s="89" t="s">
        <v>180</v>
      </c>
      <c r="AB52" s="91">
        <v>13420</v>
      </c>
      <c r="AC52" s="111" t="s">
        <v>145</v>
      </c>
      <c r="AD52" s="138" t="s">
        <v>146</v>
      </c>
      <c r="AE52" s="35"/>
      <c r="AF52" s="37">
        <f>AF26+49867</f>
        <v>673206</v>
      </c>
      <c r="AG52" s="29" t="s">
        <v>98</v>
      </c>
      <c r="AH52" s="228">
        <v>53516</v>
      </c>
      <c r="AI52" s="228" t="s">
        <v>313</v>
      </c>
      <c r="AJ52" s="230">
        <v>36000</v>
      </c>
      <c r="AK52" s="230" t="s">
        <v>180</v>
      </c>
      <c r="AL52" s="230">
        <v>13545</v>
      </c>
      <c r="AM52" s="231" t="s">
        <v>99</v>
      </c>
      <c r="AN52" s="235">
        <v>97922</v>
      </c>
      <c r="AO52" s="236" t="s">
        <v>304</v>
      </c>
      <c r="AP52" s="236" t="s">
        <v>307</v>
      </c>
      <c r="AQ52" s="237">
        <v>3000</v>
      </c>
      <c r="AR52" s="237" t="s">
        <v>94</v>
      </c>
      <c r="AS52" s="237">
        <v>1500</v>
      </c>
      <c r="AT52" s="29">
        <v>41</v>
      </c>
      <c r="AU52" s="29" t="s">
        <v>100</v>
      </c>
      <c r="AV52" s="31">
        <v>42</v>
      </c>
      <c r="AW52" s="31" t="s">
        <v>100</v>
      </c>
      <c r="AX52" s="347" t="s">
        <v>271</v>
      </c>
      <c r="AY52" s="348"/>
      <c r="AZ52" s="348"/>
      <c r="BA52" s="348"/>
      <c r="BB52" s="349"/>
      <c r="BC52" s="44" t="s">
        <v>102</v>
      </c>
      <c r="BD52" s="33" t="s">
        <v>103</v>
      </c>
      <c r="BE52" s="271" t="s">
        <v>104</v>
      </c>
      <c r="BF52" s="271" t="s">
        <v>105</v>
      </c>
      <c r="BG52" s="269">
        <v>0</v>
      </c>
      <c r="BH52" s="42">
        <v>49600</v>
      </c>
      <c r="BI52" s="47" t="s">
        <v>100</v>
      </c>
      <c r="BJ52" s="32" t="s">
        <v>101</v>
      </c>
      <c r="BK52" s="32" t="s">
        <v>100</v>
      </c>
      <c r="BL52" s="26" t="s">
        <v>106</v>
      </c>
      <c r="BM52" s="26" t="s">
        <v>107</v>
      </c>
      <c r="BN52" s="209">
        <v>0</v>
      </c>
      <c r="BO52" s="26" t="s">
        <v>108</v>
      </c>
      <c r="BP52" s="34" t="s">
        <v>109</v>
      </c>
      <c r="BQ52" s="209">
        <v>4000</v>
      </c>
      <c r="BR52" s="26" t="s">
        <v>108</v>
      </c>
      <c r="BS52" s="34" t="s">
        <v>110</v>
      </c>
      <c r="BT52" s="209">
        <v>5500</v>
      </c>
      <c r="BU52" s="211">
        <v>11000</v>
      </c>
      <c r="BV52" s="212" t="s">
        <v>100</v>
      </c>
      <c r="BW52" s="212" t="s">
        <v>286</v>
      </c>
      <c r="BX52" s="213" t="s">
        <v>100</v>
      </c>
      <c r="BY52" s="213" t="s">
        <v>100</v>
      </c>
      <c r="BZ52" s="45">
        <v>2000</v>
      </c>
    </row>
    <row r="53" spans="2:78" ht="26.25" thickBot="1">
      <c r="B53" s="125" t="s">
        <v>160</v>
      </c>
      <c r="C53" s="1"/>
      <c r="D53" s="296"/>
      <c r="E53" s="299"/>
      <c r="F53" s="345"/>
      <c r="G53" s="110">
        <v>5000</v>
      </c>
      <c r="H53" s="56">
        <v>4000</v>
      </c>
      <c r="I53" s="56">
        <v>6000</v>
      </c>
      <c r="J53" s="56">
        <v>6000</v>
      </c>
      <c r="K53" s="56">
        <v>50</v>
      </c>
      <c r="L53" s="56">
        <v>480</v>
      </c>
      <c r="M53" s="105" t="s">
        <v>251</v>
      </c>
      <c r="N53" s="203">
        <f>N27+66705</f>
        <v>961728</v>
      </c>
      <c r="O53" s="56" t="s">
        <v>89</v>
      </c>
      <c r="P53" s="56">
        <v>6</v>
      </c>
      <c r="Q53" s="58" t="s">
        <v>90</v>
      </c>
      <c r="R53" s="58" t="s">
        <v>91</v>
      </c>
      <c r="S53" s="58" t="s">
        <v>91</v>
      </c>
      <c r="T53" s="59" t="s">
        <v>92</v>
      </c>
      <c r="U53" s="59" t="s">
        <v>93</v>
      </c>
      <c r="V53" s="56" t="s">
        <v>99</v>
      </c>
      <c r="W53" s="56">
        <v>31</v>
      </c>
      <c r="X53" s="60" t="s">
        <v>95</v>
      </c>
      <c r="Y53" s="60" t="s">
        <v>96</v>
      </c>
      <c r="Z53" s="106">
        <v>45000</v>
      </c>
      <c r="AA53" s="105" t="s">
        <v>181</v>
      </c>
      <c r="AB53" s="107">
        <v>15400</v>
      </c>
      <c r="AC53" s="111" t="s">
        <v>145</v>
      </c>
      <c r="AD53" s="138" t="s">
        <v>151</v>
      </c>
      <c r="AE53" s="35"/>
      <c r="AF53" s="37">
        <f>AF27+66705</f>
        <v>900518</v>
      </c>
      <c r="AG53" s="29" t="s">
        <v>98</v>
      </c>
      <c r="AH53" s="228">
        <v>71602</v>
      </c>
      <c r="AI53" s="228" t="s">
        <v>314</v>
      </c>
      <c r="AJ53" s="230">
        <v>45000</v>
      </c>
      <c r="AK53" s="230" t="s">
        <v>181</v>
      </c>
      <c r="AL53" s="230">
        <v>15600</v>
      </c>
      <c r="AM53" s="231" t="s">
        <v>99</v>
      </c>
      <c r="AN53" s="238">
        <v>110115</v>
      </c>
      <c r="AO53" s="239" t="s">
        <v>305</v>
      </c>
      <c r="AP53" s="239" t="s">
        <v>308</v>
      </c>
      <c r="AQ53" s="240">
        <v>4000</v>
      </c>
      <c r="AR53" s="240" t="s">
        <v>94</v>
      </c>
      <c r="AS53" s="240">
        <v>2500</v>
      </c>
      <c r="AT53" s="29">
        <v>41</v>
      </c>
      <c r="AU53" s="29" t="s">
        <v>100</v>
      </c>
      <c r="AV53" s="31">
        <v>42</v>
      </c>
      <c r="AW53" s="31" t="s">
        <v>100</v>
      </c>
      <c r="AX53" s="339" t="s">
        <v>272</v>
      </c>
      <c r="AY53" s="340"/>
      <c r="AZ53" s="340"/>
      <c r="BA53" s="340"/>
      <c r="BB53" s="341"/>
      <c r="BC53" s="44" t="s">
        <v>102</v>
      </c>
      <c r="BD53" s="33" t="s">
        <v>103</v>
      </c>
      <c r="BE53" s="271" t="s">
        <v>104</v>
      </c>
      <c r="BF53" s="271" t="s">
        <v>105</v>
      </c>
      <c r="BG53" s="269">
        <v>0</v>
      </c>
      <c r="BH53" s="333" t="s">
        <v>150</v>
      </c>
      <c r="BI53" s="334"/>
      <c r="BJ53" s="334"/>
      <c r="BK53" s="335"/>
      <c r="BL53" s="26" t="s">
        <v>106</v>
      </c>
      <c r="BM53" s="26" t="s">
        <v>107</v>
      </c>
      <c r="BN53" s="209">
        <v>0</v>
      </c>
      <c r="BO53" s="26" t="s">
        <v>108</v>
      </c>
      <c r="BP53" s="34" t="s">
        <v>109</v>
      </c>
      <c r="BQ53" s="209">
        <v>4000</v>
      </c>
      <c r="BR53" s="26" t="s">
        <v>108</v>
      </c>
      <c r="BS53" s="34" t="s">
        <v>110</v>
      </c>
      <c r="BT53" s="209">
        <v>5500</v>
      </c>
      <c r="BU53" s="211">
        <v>11000</v>
      </c>
      <c r="BV53" s="212" t="s">
        <v>100</v>
      </c>
      <c r="BW53" s="212" t="s">
        <v>286</v>
      </c>
      <c r="BX53" s="213" t="s">
        <v>100</v>
      </c>
      <c r="BY53" s="213" t="s">
        <v>100</v>
      </c>
      <c r="BZ53" s="45">
        <v>2000</v>
      </c>
    </row>
    <row r="54" spans="2:78" ht="26.25" thickBot="1">
      <c r="C54" s="1"/>
      <c r="D54" s="296"/>
      <c r="E54" s="299"/>
      <c r="F54" s="345"/>
      <c r="G54" s="110">
        <v>6250</v>
      </c>
      <c r="H54" s="56">
        <v>5000</v>
      </c>
      <c r="I54" s="56">
        <v>6000</v>
      </c>
      <c r="J54" s="56">
        <v>6000</v>
      </c>
      <c r="K54" s="56">
        <v>50</v>
      </c>
      <c r="L54" s="56">
        <v>600</v>
      </c>
      <c r="M54" s="89" t="s">
        <v>252</v>
      </c>
      <c r="N54" s="203">
        <f>N28+96680</f>
        <v>1401680</v>
      </c>
      <c r="O54" s="56" t="s">
        <v>89</v>
      </c>
      <c r="P54" s="56">
        <v>6</v>
      </c>
      <c r="Q54" s="58" t="s">
        <v>90</v>
      </c>
      <c r="R54" s="58" t="s">
        <v>91</v>
      </c>
      <c r="S54" s="58" t="s">
        <v>91</v>
      </c>
      <c r="T54" s="59" t="s">
        <v>92</v>
      </c>
      <c r="U54" s="59" t="s">
        <v>93</v>
      </c>
      <c r="V54" s="56" t="s">
        <v>99</v>
      </c>
      <c r="W54" s="56">
        <v>31</v>
      </c>
      <c r="X54" s="60" t="s">
        <v>95</v>
      </c>
      <c r="Y54" s="60" t="s">
        <v>96</v>
      </c>
      <c r="Z54" s="90">
        <v>51000</v>
      </c>
      <c r="AA54" s="89" t="s">
        <v>182</v>
      </c>
      <c r="AB54" s="91">
        <v>21200</v>
      </c>
      <c r="AC54" s="111" t="s">
        <v>145</v>
      </c>
      <c r="AD54" s="138" t="s">
        <v>151</v>
      </c>
      <c r="AE54" s="35"/>
      <c r="AF54" s="37">
        <f>AF28+96680</f>
        <v>1305180</v>
      </c>
      <c r="AG54" s="29" t="s">
        <v>98</v>
      </c>
      <c r="AH54" s="228">
        <v>104400</v>
      </c>
      <c r="AI54" s="228" t="s">
        <v>315</v>
      </c>
      <c r="AJ54" s="230">
        <v>51000</v>
      </c>
      <c r="AK54" s="230" t="s">
        <v>182</v>
      </c>
      <c r="AL54" s="230">
        <v>21300</v>
      </c>
      <c r="AM54" s="231" t="s">
        <v>99</v>
      </c>
      <c r="AN54" s="40">
        <v>131950</v>
      </c>
      <c r="AO54" s="41" t="s">
        <v>305</v>
      </c>
      <c r="AP54" s="41" t="s">
        <v>308</v>
      </c>
      <c r="AQ54" s="27">
        <v>4000</v>
      </c>
      <c r="AR54" s="27" t="s">
        <v>94</v>
      </c>
      <c r="AS54" s="27">
        <v>2500</v>
      </c>
      <c r="AT54" s="29">
        <v>41</v>
      </c>
      <c r="AU54" s="29" t="s">
        <v>100</v>
      </c>
      <c r="AV54" s="31">
        <v>42</v>
      </c>
      <c r="AW54" s="31" t="s">
        <v>100</v>
      </c>
      <c r="AX54" s="339" t="s">
        <v>272</v>
      </c>
      <c r="AY54" s="340"/>
      <c r="AZ54" s="340"/>
      <c r="BA54" s="340"/>
      <c r="BB54" s="341"/>
      <c r="BC54" s="44" t="s">
        <v>102</v>
      </c>
      <c r="BD54" s="33" t="s">
        <v>103</v>
      </c>
      <c r="BE54" s="271" t="s">
        <v>104</v>
      </c>
      <c r="BF54" s="271" t="s">
        <v>105</v>
      </c>
      <c r="BG54" s="269">
        <v>0</v>
      </c>
      <c r="BH54" s="333" t="s">
        <v>150</v>
      </c>
      <c r="BI54" s="334"/>
      <c r="BJ54" s="334"/>
      <c r="BK54" s="335"/>
      <c r="BL54" s="26" t="s">
        <v>106</v>
      </c>
      <c r="BM54" s="26" t="s">
        <v>107</v>
      </c>
      <c r="BN54" s="209">
        <v>0</v>
      </c>
      <c r="BO54" s="26" t="s">
        <v>108</v>
      </c>
      <c r="BP54" s="34" t="s">
        <v>109</v>
      </c>
      <c r="BQ54" s="209">
        <v>4000</v>
      </c>
      <c r="BR54" s="26" t="s">
        <v>108</v>
      </c>
      <c r="BS54" s="34" t="s">
        <v>110</v>
      </c>
      <c r="BT54" s="209">
        <v>5500</v>
      </c>
      <c r="BU54" s="211">
        <v>11000</v>
      </c>
      <c r="BV54" s="212" t="s">
        <v>100</v>
      </c>
      <c r="BW54" s="212" t="s">
        <v>286</v>
      </c>
      <c r="BX54" s="213" t="s">
        <v>100</v>
      </c>
      <c r="BY54" s="213" t="s">
        <v>100</v>
      </c>
      <c r="BZ54" s="45">
        <v>2000</v>
      </c>
    </row>
    <row r="55" spans="2:78" ht="26.25" thickBot="1">
      <c r="C55" s="1"/>
      <c r="D55" s="297"/>
      <c r="E55" s="343"/>
      <c r="F55" s="346"/>
      <c r="G55" s="139">
        <v>7875</v>
      </c>
      <c r="H55" s="140">
        <v>6300</v>
      </c>
      <c r="I55" s="140">
        <v>6000</v>
      </c>
      <c r="J55" s="140">
        <v>6000</v>
      </c>
      <c r="K55" s="140">
        <v>50</v>
      </c>
      <c r="L55" s="140">
        <v>750</v>
      </c>
      <c r="M55" s="145" t="s">
        <v>253</v>
      </c>
      <c r="N55" s="204">
        <f>N29+110768</f>
        <v>1605768</v>
      </c>
      <c r="O55" s="140" t="s">
        <v>89</v>
      </c>
      <c r="P55" s="140">
        <v>6</v>
      </c>
      <c r="Q55" s="141" t="s">
        <v>90</v>
      </c>
      <c r="R55" s="141" t="s">
        <v>91</v>
      </c>
      <c r="S55" s="141" t="s">
        <v>91</v>
      </c>
      <c r="T55" s="142" t="s">
        <v>92</v>
      </c>
      <c r="U55" s="142" t="s">
        <v>93</v>
      </c>
      <c r="V55" s="140" t="s">
        <v>99</v>
      </c>
      <c r="W55" s="140">
        <v>31</v>
      </c>
      <c r="X55" s="143" t="s">
        <v>95</v>
      </c>
      <c r="Y55" s="143" t="s">
        <v>96</v>
      </c>
      <c r="Z55" s="144">
        <v>90000</v>
      </c>
      <c r="AA55" s="145" t="s">
        <v>276</v>
      </c>
      <c r="AB55" s="146">
        <v>22800</v>
      </c>
      <c r="AC55" s="147" t="s">
        <v>145</v>
      </c>
      <c r="AD55" s="148" t="s">
        <v>151</v>
      </c>
      <c r="AE55" s="35"/>
      <c r="AF55" s="37">
        <f>AF29+110768</f>
        <v>1495368</v>
      </c>
      <c r="AG55" s="29" t="s">
        <v>98</v>
      </c>
      <c r="AH55" s="228">
        <v>119600</v>
      </c>
      <c r="AI55" s="228" t="s">
        <v>316</v>
      </c>
      <c r="AJ55" s="230">
        <v>90000</v>
      </c>
      <c r="AK55" s="230" t="s">
        <v>276</v>
      </c>
      <c r="AL55" s="230">
        <v>24085</v>
      </c>
      <c r="AM55" s="231" t="s">
        <v>99</v>
      </c>
      <c r="AN55" s="235">
        <v>152880</v>
      </c>
      <c r="AO55" s="236" t="s">
        <v>305</v>
      </c>
      <c r="AP55" s="236" t="s">
        <v>308</v>
      </c>
      <c r="AQ55" s="237">
        <v>4000</v>
      </c>
      <c r="AR55" s="237" t="s">
        <v>94</v>
      </c>
      <c r="AS55" s="237">
        <v>2500</v>
      </c>
      <c r="AT55" s="29">
        <v>41</v>
      </c>
      <c r="AU55" s="29" t="s">
        <v>100</v>
      </c>
      <c r="AV55" s="31">
        <v>42</v>
      </c>
      <c r="AW55" s="31" t="s">
        <v>100</v>
      </c>
      <c r="AX55" s="339" t="s">
        <v>272</v>
      </c>
      <c r="AY55" s="340"/>
      <c r="AZ55" s="340"/>
      <c r="BA55" s="340"/>
      <c r="BB55" s="341"/>
      <c r="BC55" s="44" t="s">
        <v>102</v>
      </c>
      <c r="BD55" s="33" t="s">
        <v>103</v>
      </c>
      <c r="BE55" s="271" t="s">
        <v>104</v>
      </c>
      <c r="BF55" s="271" t="s">
        <v>105</v>
      </c>
      <c r="BG55" s="269">
        <v>0</v>
      </c>
      <c r="BH55" s="333" t="s">
        <v>150</v>
      </c>
      <c r="BI55" s="334"/>
      <c r="BJ55" s="334"/>
      <c r="BK55" s="335"/>
      <c r="BL55" s="26" t="s">
        <v>106</v>
      </c>
      <c r="BM55" s="26" t="s">
        <v>107</v>
      </c>
      <c r="BN55" s="209">
        <v>0</v>
      </c>
      <c r="BO55" s="26" t="s">
        <v>108</v>
      </c>
      <c r="BP55" s="34" t="s">
        <v>109</v>
      </c>
      <c r="BQ55" s="209">
        <v>4000</v>
      </c>
      <c r="BR55" s="26" t="s">
        <v>108</v>
      </c>
      <c r="BS55" s="34" t="s">
        <v>110</v>
      </c>
      <c r="BT55" s="209">
        <v>5500</v>
      </c>
      <c r="BU55" s="211">
        <v>11000</v>
      </c>
      <c r="BV55" s="212" t="s">
        <v>100</v>
      </c>
      <c r="BW55" s="212" t="s">
        <v>286</v>
      </c>
      <c r="BX55" s="213" t="s">
        <v>100</v>
      </c>
      <c r="BY55" s="213" t="s">
        <v>100</v>
      </c>
      <c r="BZ55" s="45">
        <v>2000</v>
      </c>
    </row>
    <row r="56" spans="2:78" ht="13.5" thickBot="1">
      <c r="C56" s="1"/>
      <c r="D56" s="36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36"/>
      <c r="AJ56" s="36"/>
      <c r="AK56" s="36"/>
      <c r="AL56" s="36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Z56" s="36"/>
    </row>
    <row r="57" spans="2:78" ht="25.5" customHeight="1">
      <c r="C57" s="1"/>
      <c r="D57" s="295">
        <v>3</v>
      </c>
      <c r="E57" s="304" t="s">
        <v>347</v>
      </c>
      <c r="F57" s="307" t="s">
        <v>346</v>
      </c>
      <c r="G57" s="67">
        <v>315</v>
      </c>
      <c r="H57" s="68">
        <v>250</v>
      </c>
      <c r="I57" s="68">
        <v>10000</v>
      </c>
      <c r="J57" s="68">
        <v>10000</v>
      </c>
      <c r="K57" s="68">
        <v>50</v>
      </c>
      <c r="L57" s="68">
        <v>19</v>
      </c>
      <c r="M57" s="83" t="s">
        <v>254</v>
      </c>
      <c r="N57" s="69">
        <v>223011</v>
      </c>
      <c r="O57" s="68" t="s">
        <v>89</v>
      </c>
      <c r="P57" s="68">
        <v>8</v>
      </c>
      <c r="Q57" s="70" t="s">
        <v>90</v>
      </c>
      <c r="R57" s="70" t="s">
        <v>91</v>
      </c>
      <c r="S57" s="70" t="s">
        <v>91</v>
      </c>
      <c r="T57" s="71" t="s">
        <v>92</v>
      </c>
      <c r="U57" s="71" t="s">
        <v>93</v>
      </c>
      <c r="V57" s="68" t="s">
        <v>94</v>
      </c>
      <c r="W57" s="68">
        <v>31</v>
      </c>
      <c r="X57" s="72" t="s">
        <v>95</v>
      </c>
      <c r="Y57" s="72" t="s">
        <v>96</v>
      </c>
      <c r="Z57" s="86">
        <v>18000</v>
      </c>
      <c r="AA57" s="83" t="s">
        <v>188</v>
      </c>
      <c r="AB57" s="86">
        <v>5780</v>
      </c>
      <c r="AC57" s="68" t="s">
        <v>97</v>
      </c>
      <c r="AD57" s="73" t="s">
        <v>97</v>
      </c>
      <c r="AE57" s="28"/>
      <c r="AF57" s="37">
        <v>210611</v>
      </c>
      <c r="AG57" s="29" t="s">
        <v>98</v>
      </c>
      <c r="AH57" s="226">
        <v>17841</v>
      </c>
      <c r="AI57" s="48" t="s">
        <v>317</v>
      </c>
      <c r="AJ57" s="39">
        <v>18000</v>
      </c>
      <c r="AK57" s="39" t="s">
        <v>188</v>
      </c>
      <c r="AL57" s="39">
        <v>5840</v>
      </c>
      <c r="AM57" s="30" t="s">
        <v>99</v>
      </c>
      <c r="AN57" s="40">
        <v>58074</v>
      </c>
      <c r="AO57" s="41" t="s">
        <v>303</v>
      </c>
      <c r="AP57" s="41" t="s">
        <v>306</v>
      </c>
      <c r="AQ57" s="27">
        <v>3000</v>
      </c>
      <c r="AR57" s="27" t="s">
        <v>94</v>
      </c>
      <c r="AS57" s="27">
        <v>900</v>
      </c>
      <c r="AT57" s="29">
        <v>41</v>
      </c>
      <c r="AU57" s="29" t="s">
        <v>100</v>
      </c>
      <c r="AV57" s="31">
        <v>42</v>
      </c>
      <c r="AW57" s="31" t="s">
        <v>100</v>
      </c>
      <c r="AX57" s="42">
        <v>16000</v>
      </c>
      <c r="AY57" s="43" t="s">
        <v>100</v>
      </c>
      <c r="AZ57" s="43" t="s">
        <v>270</v>
      </c>
      <c r="BA57" s="32" t="s">
        <v>94</v>
      </c>
      <c r="BB57" s="32">
        <v>500</v>
      </c>
      <c r="BC57" s="44" t="s">
        <v>102</v>
      </c>
      <c r="BD57" s="33" t="s">
        <v>103</v>
      </c>
      <c r="BE57" s="271" t="s">
        <v>104</v>
      </c>
      <c r="BF57" s="271" t="s">
        <v>105</v>
      </c>
      <c r="BG57" s="269">
        <v>0</v>
      </c>
      <c r="BH57" s="42">
        <v>30000</v>
      </c>
      <c r="BI57" s="47" t="s">
        <v>100</v>
      </c>
      <c r="BJ57" s="32" t="s">
        <v>309</v>
      </c>
      <c r="BK57" s="32">
        <v>500</v>
      </c>
      <c r="BL57" s="26" t="s">
        <v>106</v>
      </c>
      <c r="BM57" s="26" t="s">
        <v>107</v>
      </c>
      <c r="BN57" s="209">
        <v>0</v>
      </c>
      <c r="BO57" s="26" t="s">
        <v>108</v>
      </c>
      <c r="BP57" s="34" t="s">
        <v>109</v>
      </c>
      <c r="BQ57" s="209">
        <v>4000</v>
      </c>
      <c r="BR57" s="26" t="s">
        <v>108</v>
      </c>
      <c r="BS57" s="34" t="s">
        <v>110</v>
      </c>
      <c r="BT57" s="209">
        <v>5500</v>
      </c>
      <c r="BU57" s="211">
        <v>11000</v>
      </c>
      <c r="BV57" s="212" t="s">
        <v>100</v>
      </c>
      <c r="BW57" s="212" t="s">
        <v>286</v>
      </c>
      <c r="BX57" s="213" t="s">
        <v>100</v>
      </c>
      <c r="BY57" s="213" t="s">
        <v>100</v>
      </c>
      <c r="BZ57" s="45">
        <v>2000</v>
      </c>
    </row>
    <row r="58" spans="2:78" ht="25.5">
      <c r="C58" s="1"/>
      <c r="D58" s="296"/>
      <c r="E58" s="305"/>
      <c r="F58" s="308"/>
      <c r="G58" s="74">
        <v>340</v>
      </c>
      <c r="H58" s="62">
        <v>280</v>
      </c>
      <c r="I58" s="62">
        <v>10000</v>
      </c>
      <c r="J58" s="62">
        <v>10000</v>
      </c>
      <c r="K58" s="62">
        <v>50</v>
      </c>
      <c r="L58" s="62">
        <v>21</v>
      </c>
      <c r="M58" s="84" t="s">
        <v>254</v>
      </c>
      <c r="N58" s="63">
        <v>223312</v>
      </c>
      <c r="O58" s="62" t="s">
        <v>89</v>
      </c>
      <c r="P58" s="62">
        <v>8</v>
      </c>
      <c r="Q58" s="64" t="s">
        <v>90</v>
      </c>
      <c r="R58" s="64" t="s">
        <v>91</v>
      </c>
      <c r="S58" s="64" t="s">
        <v>91</v>
      </c>
      <c r="T58" s="65" t="s">
        <v>92</v>
      </c>
      <c r="U58" s="65" t="s">
        <v>93</v>
      </c>
      <c r="V58" s="62" t="s">
        <v>94</v>
      </c>
      <c r="W58" s="62">
        <v>31</v>
      </c>
      <c r="X58" s="66" t="s">
        <v>95</v>
      </c>
      <c r="Y58" s="66" t="s">
        <v>96</v>
      </c>
      <c r="Z58" s="87">
        <v>18000</v>
      </c>
      <c r="AA58" s="84" t="s">
        <v>188</v>
      </c>
      <c r="AB58" s="87">
        <v>5780</v>
      </c>
      <c r="AC58" s="62" t="s">
        <v>97</v>
      </c>
      <c r="AD58" s="75" t="s">
        <v>97</v>
      </c>
      <c r="AE58" s="35"/>
      <c r="AF58" s="37">
        <v>211508</v>
      </c>
      <c r="AG58" s="29" t="s">
        <v>98</v>
      </c>
      <c r="AH58" s="226">
        <v>17865</v>
      </c>
      <c r="AI58" s="48" t="s">
        <v>317</v>
      </c>
      <c r="AJ58" s="39">
        <v>18000</v>
      </c>
      <c r="AK58" s="39" t="s">
        <v>188</v>
      </c>
      <c r="AL58" s="39">
        <v>5840</v>
      </c>
      <c r="AM58" s="30" t="s">
        <v>99</v>
      </c>
      <c r="AN58" s="40">
        <v>58074</v>
      </c>
      <c r="AO58" s="41" t="s">
        <v>303</v>
      </c>
      <c r="AP58" s="41" t="s">
        <v>306</v>
      </c>
      <c r="AQ58" s="27">
        <v>3000</v>
      </c>
      <c r="AR58" s="27" t="s">
        <v>94</v>
      </c>
      <c r="AS58" s="27">
        <v>900</v>
      </c>
      <c r="AT58" s="29">
        <v>41</v>
      </c>
      <c r="AU58" s="29" t="s">
        <v>100</v>
      </c>
      <c r="AV58" s="31">
        <v>42</v>
      </c>
      <c r="AW58" s="31" t="s">
        <v>100</v>
      </c>
      <c r="AX58" s="42">
        <v>16000</v>
      </c>
      <c r="AY58" s="43" t="s">
        <v>100</v>
      </c>
      <c r="AZ58" s="43" t="s">
        <v>270</v>
      </c>
      <c r="BA58" s="32" t="s">
        <v>94</v>
      </c>
      <c r="BB58" s="32">
        <v>500</v>
      </c>
      <c r="BC58" s="44" t="s">
        <v>102</v>
      </c>
      <c r="BD58" s="33" t="s">
        <v>103</v>
      </c>
      <c r="BE58" s="271" t="s">
        <v>104</v>
      </c>
      <c r="BF58" s="271" t="s">
        <v>105</v>
      </c>
      <c r="BG58" s="269">
        <v>0</v>
      </c>
      <c r="BH58" s="42">
        <v>30000</v>
      </c>
      <c r="BI58" s="47" t="s">
        <v>100</v>
      </c>
      <c r="BJ58" s="32" t="s">
        <v>309</v>
      </c>
      <c r="BK58" s="32">
        <v>500</v>
      </c>
      <c r="BL58" s="26" t="s">
        <v>106</v>
      </c>
      <c r="BM58" s="26" t="s">
        <v>107</v>
      </c>
      <c r="BN58" s="209">
        <v>0</v>
      </c>
      <c r="BO58" s="26" t="s">
        <v>108</v>
      </c>
      <c r="BP58" s="34" t="s">
        <v>109</v>
      </c>
      <c r="BQ58" s="209">
        <v>4000</v>
      </c>
      <c r="BR58" s="26" t="s">
        <v>108</v>
      </c>
      <c r="BS58" s="34" t="s">
        <v>110</v>
      </c>
      <c r="BT58" s="209">
        <v>5500</v>
      </c>
      <c r="BU58" s="211">
        <v>11000</v>
      </c>
      <c r="BV58" s="212" t="s">
        <v>100</v>
      </c>
      <c r="BW58" s="212" t="s">
        <v>286</v>
      </c>
      <c r="BX58" s="213" t="s">
        <v>100</v>
      </c>
      <c r="BY58" s="213" t="s">
        <v>100</v>
      </c>
      <c r="BZ58" s="45">
        <v>2000</v>
      </c>
    </row>
    <row r="59" spans="2:78" ht="26.25" thickBot="1">
      <c r="C59" s="1"/>
      <c r="D59" s="296"/>
      <c r="E59" s="305"/>
      <c r="F59" s="308"/>
      <c r="G59" s="74">
        <v>395</v>
      </c>
      <c r="H59" s="62">
        <v>315</v>
      </c>
      <c r="I59" s="62">
        <v>10000</v>
      </c>
      <c r="J59" s="62">
        <v>10000</v>
      </c>
      <c r="K59" s="62">
        <v>50</v>
      </c>
      <c r="L59" s="62">
        <v>24</v>
      </c>
      <c r="M59" s="84" t="s">
        <v>254</v>
      </c>
      <c r="N59" s="63">
        <v>223772</v>
      </c>
      <c r="O59" s="62" t="s">
        <v>89</v>
      </c>
      <c r="P59" s="62">
        <v>8</v>
      </c>
      <c r="Q59" s="64" t="s">
        <v>90</v>
      </c>
      <c r="R59" s="64" t="s">
        <v>91</v>
      </c>
      <c r="S59" s="64" t="s">
        <v>91</v>
      </c>
      <c r="T59" s="65" t="s">
        <v>92</v>
      </c>
      <c r="U59" s="65" t="s">
        <v>93</v>
      </c>
      <c r="V59" s="62" t="s">
        <v>94</v>
      </c>
      <c r="W59" s="62">
        <v>31</v>
      </c>
      <c r="X59" s="66" t="s">
        <v>95</v>
      </c>
      <c r="Y59" s="66" t="s">
        <v>96</v>
      </c>
      <c r="Z59" s="87">
        <v>18000</v>
      </c>
      <c r="AA59" s="84" t="s">
        <v>188</v>
      </c>
      <c r="AB59" s="87">
        <v>5780</v>
      </c>
      <c r="AC59" s="62" t="s">
        <v>97</v>
      </c>
      <c r="AD59" s="75" t="s">
        <v>97</v>
      </c>
      <c r="AE59" s="35"/>
      <c r="AF59" s="37">
        <v>212887</v>
      </c>
      <c r="AG59" s="29" t="s">
        <v>98</v>
      </c>
      <c r="AH59" s="226">
        <v>17902</v>
      </c>
      <c r="AI59" s="48" t="s">
        <v>317</v>
      </c>
      <c r="AJ59" s="39">
        <v>18000</v>
      </c>
      <c r="AK59" s="39" t="s">
        <v>188</v>
      </c>
      <c r="AL59" s="39">
        <v>5840</v>
      </c>
      <c r="AM59" s="30" t="s">
        <v>99</v>
      </c>
      <c r="AN59" s="40">
        <v>58074</v>
      </c>
      <c r="AO59" s="41" t="s">
        <v>303</v>
      </c>
      <c r="AP59" s="41" t="s">
        <v>306</v>
      </c>
      <c r="AQ59" s="27">
        <v>3000</v>
      </c>
      <c r="AR59" s="27" t="s">
        <v>94</v>
      </c>
      <c r="AS59" s="27">
        <v>900</v>
      </c>
      <c r="AT59" s="29">
        <v>41</v>
      </c>
      <c r="AU59" s="29" t="s">
        <v>100</v>
      </c>
      <c r="AV59" s="31">
        <v>42</v>
      </c>
      <c r="AW59" s="31" t="s">
        <v>100</v>
      </c>
      <c r="AX59" s="42">
        <v>16000</v>
      </c>
      <c r="AY59" s="43" t="s">
        <v>100</v>
      </c>
      <c r="AZ59" s="43" t="s">
        <v>270</v>
      </c>
      <c r="BA59" s="32" t="s">
        <v>94</v>
      </c>
      <c r="BB59" s="32">
        <v>500</v>
      </c>
      <c r="BC59" s="44" t="s">
        <v>102</v>
      </c>
      <c r="BD59" s="33" t="s">
        <v>103</v>
      </c>
      <c r="BE59" s="271" t="s">
        <v>104</v>
      </c>
      <c r="BF59" s="271" t="s">
        <v>105</v>
      </c>
      <c r="BG59" s="269">
        <v>0</v>
      </c>
      <c r="BH59" s="42">
        <v>30000</v>
      </c>
      <c r="BI59" s="47" t="s">
        <v>100</v>
      </c>
      <c r="BJ59" s="32" t="s">
        <v>309</v>
      </c>
      <c r="BK59" s="32">
        <v>500</v>
      </c>
      <c r="BL59" s="26" t="s">
        <v>106</v>
      </c>
      <c r="BM59" s="26" t="s">
        <v>107</v>
      </c>
      <c r="BN59" s="209">
        <v>0</v>
      </c>
      <c r="BO59" s="26" t="s">
        <v>108</v>
      </c>
      <c r="BP59" s="34" t="s">
        <v>109</v>
      </c>
      <c r="BQ59" s="209">
        <v>4000</v>
      </c>
      <c r="BR59" s="26" t="s">
        <v>108</v>
      </c>
      <c r="BS59" s="34" t="s">
        <v>110</v>
      </c>
      <c r="BT59" s="209">
        <v>5500</v>
      </c>
      <c r="BU59" s="211">
        <v>11000</v>
      </c>
      <c r="BV59" s="212" t="s">
        <v>100</v>
      </c>
      <c r="BW59" s="212" t="s">
        <v>286</v>
      </c>
      <c r="BX59" s="213" t="s">
        <v>100</v>
      </c>
      <c r="BY59" s="213" t="s">
        <v>100</v>
      </c>
      <c r="BZ59" s="45">
        <v>2000</v>
      </c>
    </row>
    <row r="60" spans="2:78" ht="25.5" customHeight="1">
      <c r="B60" s="289" t="s">
        <v>343</v>
      </c>
      <c r="C60" s="1"/>
      <c r="D60" s="296"/>
      <c r="E60" s="305"/>
      <c r="F60" s="308"/>
      <c r="G60" s="74">
        <v>445</v>
      </c>
      <c r="H60" s="62">
        <v>355</v>
      </c>
      <c r="I60" s="62">
        <v>10000</v>
      </c>
      <c r="J60" s="62">
        <v>10000</v>
      </c>
      <c r="K60" s="62">
        <v>50</v>
      </c>
      <c r="L60" s="62">
        <v>27</v>
      </c>
      <c r="M60" s="84" t="s">
        <v>254</v>
      </c>
      <c r="N60" s="63">
        <v>231196</v>
      </c>
      <c r="O60" s="62" t="s">
        <v>89</v>
      </c>
      <c r="P60" s="62">
        <v>8</v>
      </c>
      <c r="Q60" s="64" t="s">
        <v>90</v>
      </c>
      <c r="R60" s="64" t="s">
        <v>91</v>
      </c>
      <c r="S60" s="64" t="s">
        <v>91</v>
      </c>
      <c r="T60" s="65" t="s">
        <v>92</v>
      </c>
      <c r="U60" s="65" t="s">
        <v>93</v>
      </c>
      <c r="V60" s="62" t="s">
        <v>94</v>
      </c>
      <c r="W60" s="62">
        <v>31</v>
      </c>
      <c r="X60" s="66" t="s">
        <v>95</v>
      </c>
      <c r="Y60" s="66" t="s">
        <v>96</v>
      </c>
      <c r="Z60" s="87">
        <v>18000</v>
      </c>
      <c r="AA60" s="84" t="s">
        <v>188</v>
      </c>
      <c r="AB60" s="87">
        <v>5780</v>
      </c>
      <c r="AC60" s="62" t="s">
        <v>97</v>
      </c>
      <c r="AD60" s="75" t="s">
        <v>97</v>
      </c>
      <c r="AE60" s="35"/>
      <c r="AF60" s="37">
        <v>221144</v>
      </c>
      <c r="AG60" s="29" t="s">
        <v>98</v>
      </c>
      <c r="AH60" s="226">
        <v>18496</v>
      </c>
      <c r="AI60" s="48" t="s">
        <v>317</v>
      </c>
      <c r="AJ60" s="39">
        <v>18000</v>
      </c>
      <c r="AK60" s="39" t="s">
        <v>188</v>
      </c>
      <c r="AL60" s="39">
        <v>5840</v>
      </c>
      <c r="AM60" s="30" t="s">
        <v>99</v>
      </c>
      <c r="AN60" s="40">
        <v>58074</v>
      </c>
      <c r="AO60" s="41" t="s">
        <v>303</v>
      </c>
      <c r="AP60" s="41" t="s">
        <v>306</v>
      </c>
      <c r="AQ60" s="27">
        <v>3000</v>
      </c>
      <c r="AR60" s="27" t="s">
        <v>94</v>
      </c>
      <c r="AS60" s="27">
        <v>900</v>
      </c>
      <c r="AT60" s="29">
        <v>41</v>
      </c>
      <c r="AU60" s="29" t="s">
        <v>100</v>
      </c>
      <c r="AV60" s="31">
        <v>42</v>
      </c>
      <c r="AW60" s="31" t="s">
        <v>100</v>
      </c>
      <c r="AX60" s="42">
        <v>16000</v>
      </c>
      <c r="AY60" s="43" t="s">
        <v>100</v>
      </c>
      <c r="AZ60" s="43" t="s">
        <v>270</v>
      </c>
      <c r="BA60" s="32" t="s">
        <v>94</v>
      </c>
      <c r="BB60" s="32">
        <v>500</v>
      </c>
      <c r="BC60" s="44" t="s">
        <v>102</v>
      </c>
      <c r="BD60" s="33" t="s">
        <v>103</v>
      </c>
      <c r="BE60" s="271" t="s">
        <v>104</v>
      </c>
      <c r="BF60" s="271" t="s">
        <v>105</v>
      </c>
      <c r="BG60" s="269">
        <v>0</v>
      </c>
      <c r="BH60" s="42">
        <v>30000</v>
      </c>
      <c r="BI60" s="47" t="s">
        <v>100</v>
      </c>
      <c r="BJ60" s="32" t="s">
        <v>309</v>
      </c>
      <c r="BK60" s="32">
        <v>500</v>
      </c>
      <c r="BL60" s="26" t="s">
        <v>106</v>
      </c>
      <c r="BM60" s="26" t="s">
        <v>107</v>
      </c>
      <c r="BN60" s="209">
        <v>0</v>
      </c>
      <c r="BO60" s="26" t="s">
        <v>108</v>
      </c>
      <c r="BP60" s="34" t="s">
        <v>109</v>
      </c>
      <c r="BQ60" s="209">
        <v>4000</v>
      </c>
      <c r="BR60" s="26" t="s">
        <v>108</v>
      </c>
      <c r="BS60" s="34" t="s">
        <v>110</v>
      </c>
      <c r="BT60" s="209">
        <v>5500</v>
      </c>
      <c r="BU60" s="211">
        <v>11000</v>
      </c>
      <c r="BV60" s="212" t="s">
        <v>100</v>
      </c>
      <c r="BW60" s="212" t="s">
        <v>286</v>
      </c>
      <c r="BX60" s="213" t="s">
        <v>100</v>
      </c>
      <c r="BY60" s="213" t="s">
        <v>100</v>
      </c>
      <c r="BZ60" s="45">
        <v>2000</v>
      </c>
    </row>
    <row r="61" spans="2:78" ht="25.5">
      <c r="B61" s="290"/>
      <c r="C61" s="1"/>
      <c r="D61" s="296"/>
      <c r="E61" s="305"/>
      <c r="F61" s="308"/>
      <c r="G61" s="74">
        <v>500</v>
      </c>
      <c r="H61" s="62">
        <v>400</v>
      </c>
      <c r="I61" s="62">
        <v>10000</v>
      </c>
      <c r="J61" s="62">
        <v>10000</v>
      </c>
      <c r="K61" s="62">
        <v>50</v>
      </c>
      <c r="L61" s="62">
        <v>29</v>
      </c>
      <c r="M61" s="84" t="s">
        <v>254</v>
      </c>
      <c r="N61" s="63">
        <v>232740</v>
      </c>
      <c r="O61" s="62" t="s">
        <v>89</v>
      </c>
      <c r="P61" s="62">
        <v>8</v>
      </c>
      <c r="Q61" s="64" t="s">
        <v>90</v>
      </c>
      <c r="R61" s="64" t="s">
        <v>91</v>
      </c>
      <c r="S61" s="64" t="s">
        <v>91</v>
      </c>
      <c r="T61" s="65" t="s">
        <v>92</v>
      </c>
      <c r="U61" s="65" t="s">
        <v>93</v>
      </c>
      <c r="V61" s="62" t="s">
        <v>94</v>
      </c>
      <c r="W61" s="62">
        <v>31</v>
      </c>
      <c r="X61" s="66" t="s">
        <v>95</v>
      </c>
      <c r="Y61" s="66" t="s">
        <v>96</v>
      </c>
      <c r="Z61" s="87">
        <v>18000</v>
      </c>
      <c r="AA61" s="84" t="s">
        <v>188</v>
      </c>
      <c r="AB61" s="87">
        <v>5780</v>
      </c>
      <c r="AC61" s="62" t="s">
        <v>97</v>
      </c>
      <c r="AD61" s="75" t="s">
        <v>97</v>
      </c>
      <c r="AE61" s="35"/>
      <c r="AF61" s="37">
        <v>222293</v>
      </c>
      <c r="AG61" s="29" t="s">
        <v>98</v>
      </c>
      <c r="AH61" s="226">
        <v>18619</v>
      </c>
      <c r="AI61" s="48" t="s">
        <v>317</v>
      </c>
      <c r="AJ61" s="39">
        <v>18000</v>
      </c>
      <c r="AK61" s="39" t="s">
        <v>188</v>
      </c>
      <c r="AL61" s="39">
        <v>5840</v>
      </c>
      <c r="AM61" s="30" t="s">
        <v>99</v>
      </c>
      <c r="AN61" s="40">
        <v>58074</v>
      </c>
      <c r="AO61" s="41" t="s">
        <v>303</v>
      </c>
      <c r="AP61" s="41" t="s">
        <v>306</v>
      </c>
      <c r="AQ61" s="27">
        <v>3000</v>
      </c>
      <c r="AR61" s="27" t="s">
        <v>94</v>
      </c>
      <c r="AS61" s="27">
        <v>900</v>
      </c>
      <c r="AT61" s="29">
        <v>41</v>
      </c>
      <c r="AU61" s="29" t="s">
        <v>100</v>
      </c>
      <c r="AV61" s="31">
        <v>42</v>
      </c>
      <c r="AW61" s="31" t="s">
        <v>100</v>
      </c>
      <c r="AX61" s="42">
        <v>16000</v>
      </c>
      <c r="AY61" s="43" t="s">
        <v>100</v>
      </c>
      <c r="AZ61" s="43" t="s">
        <v>270</v>
      </c>
      <c r="BA61" s="32" t="s">
        <v>94</v>
      </c>
      <c r="BB61" s="32">
        <v>500</v>
      </c>
      <c r="BC61" s="44" t="s">
        <v>102</v>
      </c>
      <c r="BD61" s="33" t="s">
        <v>103</v>
      </c>
      <c r="BE61" s="271" t="s">
        <v>104</v>
      </c>
      <c r="BF61" s="271" t="s">
        <v>105</v>
      </c>
      <c r="BG61" s="269">
        <v>0</v>
      </c>
      <c r="BH61" s="42">
        <v>30000</v>
      </c>
      <c r="BI61" s="47" t="s">
        <v>100</v>
      </c>
      <c r="BJ61" s="32" t="s">
        <v>309</v>
      </c>
      <c r="BK61" s="32">
        <v>500</v>
      </c>
      <c r="BL61" s="26" t="s">
        <v>106</v>
      </c>
      <c r="BM61" s="26" t="s">
        <v>107</v>
      </c>
      <c r="BN61" s="209">
        <v>0</v>
      </c>
      <c r="BO61" s="26" t="s">
        <v>108</v>
      </c>
      <c r="BP61" s="34" t="s">
        <v>109</v>
      </c>
      <c r="BQ61" s="209">
        <v>4000</v>
      </c>
      <c r="BR61" s="26" t="s">
        <v>108</v>
      </c>
      <c r="BS61" s="34" t="s">
        <v>110</v>
      </c>
      <c r="BT61" s="209">
        <v>5500</v>
      </c>
      <c r="BU61" s="211">
        <v>11000</v>
      </c>
      <c r="BV61" s="212" t="s">
        <v>100</v>
      </c>
      <c r="BW61" s="212" t="s">
        <v>286</v>
      </c>
      <c r="BX61" s="213" t="s">
        <v>100</v>
      </c>
      <c r="BY61" s="213" t="s">
        <v>100</v>
      </c>
      <c r="BZ61" s="45">
        <v>2000</v>
      </c>
    </row>
    <row r="62" spans="2:78" ht="25.5">
      <c r="B62" s="290"/>
      <c r="C62" s="1"/>
      <c r="D62" s="296"/>
      <c r="E62" s="305"/>
      <c r="F62" s="308"/>
      <c r="G62" s="74">
        <v>565</v>
      </c>
      <c r="H62" s="62">
        <v>450</v>
      </c>
      <c r="I62" s="62">
        <v>10000</v>
      </c>
      <c r="J62" s="62">
        <v>10000</v>
      </c>
      <c r="K62" s="62">
        <v>50</v>
      </c>
      <c r="L62" s="62">
        <v>34</v>
      </c>
      <c r="M62" s="84" t="s">
        <v>254</v>
      </c>
      <c r="N62" s="63">
        <v>234118</v>
      </c>
      <c r="O62" s="62" t="s">
        <v>89</v>
      </c>
      <c r="P62" s="62">
        <v>8</v>
      </c>
      <c r="Q62" s="64" t="s">
        <v>90</v>
      </c>
      <c r="R62" s="64" t="s">
        <v>91</v>
      </c>
      <c r="S62" s="64" t="s">
        <v>91</v>
      </c>
      <c r="T62" s="65" t="s">
        <v>92</v>
      </c>
      <c r="U62" s="65" t="s">
        <v>93</v>
      </c>
      <c r="V62" s="62" t="s">
        <v>94</v>
      </c>
      <c r="W62" s="62">
        <v>31</v>
      </c>
      <c r="X62" s="66" t="s">
        <v>95</v>
      </c>
      <c r="Y62" s="66" t="s">
        <v>96</v>
      </c>
      <c r="Z62" s="87">
        <v>18000</v>
      </c>
      <c r="AA62" s="84" t="s">
        <v>188</v>
      </c>
      <c r="AB62" s="87">
        <v>5780</v>
      </c>
      <c r="AC62" s="62" t="s">
        <v>97</v>
      </c>
      <c r="AD62" s="75" t="s">
        <v>97</v>
      </c>
      <c r="AE62" s="35"/>
      <c r="AF62" s="37">
        <v>224253</v>
      </c>
      <c r="AG62" s="29" t="s">
        <v>98</v>
      </c>
      <c r="AH62" s="226">
        <v>18729</v>
      </c>
      <c r="AI62" s="48" t="s">
        <v>317</v>
      </c>
      <c r="AJ62" s="39">
        <v>18000</v>
      </c>
      <c r="AK62" s="39" t="s">
        <v>188</v>
      </c>
      <c r="AL62" s="39">
        <v>5840</v>
      </c>
      <c r="AM62" s="30" t="s">
        <v>99</v>
      </c>
      <c r="AN62" s="40">
        <v>58074</v>
      </c>
      <c r="AO62" s="41" t="s">
        <v>303</v>
      </c>
      <c r="AP62" s="41" t="s">
        <v>306</v>
      </c>
      <c r="AQ62" s="27">
        <v>3000</v>
      </c>
      <c r="AR62" s="27" t="s">
        <v>94</v>
      </c>
      <c r="AS62" s="27">
        <v>900</v>
      </c>
      <c r="AT62" s="29">
        <v>41</v>
      </c>
      <c r="AU62" s="29" t="s">
        <v>100</v>
      </c>
      <c r="AV62" s="31">
        <v>42</v>
      </c>
      <c r="AW62" s="31" t="s">
        <v>100</v>
      </c>
      <c r="AX62" s="42">
        <v>16000</v>
      </c>
      <c r="AY62" s="43" t="s">
        <v>100</v>
      </c>
      <c r="AZ62" s="43" t="s">
        <v>270</v>
      </c>
      <c r="BA62" s="32" t="s">
        <v>94</v>
      </c>
      <c r="BB62" s="32">
        <v>500</v>
      </c>
      <c r="BC62" s="44" t="s">
        <v>102</v>
      </c>
      <c r="BD62" s="33" t="s">
        <v>103</v>
      </c>
      <c r="BE62" s="271" t="s">
        <v>104</v>
      </c>
      <c r="BF62" s="271" t="s">
        <v>105</v>
      </c>
      <c r="BG62" s="269">
        <v>0</v>
      </c>
      <c r="BH62" s="42">
        <v>30000</v>
      </c>
      <c r="BI62" s="47" t="s">
        <v>100</v>
      </c>
      <c r="BJ62" s="32" t="s">
        <v>309</v>
      </c>
      <c r="BK62" s="32">
        <v>500</v>
      </c>
      <c r="BL62" s="26" t="s">
        <v>106</v>
      </c>
      <c r="BM62" s="26" t="s">
        <v>107</v>
      </c>
      <c r="BN62" s="209">
        <v>0</v>
      </c>
      <c r="BO62" s="26" t="s">
        <v>108</v>
      </c>
      <c r="BP62" s="34" t="s">
        <v>109</v>
      </c>
      <c r="BQ62" s="209">
        <v>4000</v>
      </c>
      <c r="BR62" s="26" t="s">
        <v>108</v>
      </c>
      <c r="BS62" s="34" t="s">
        <v>110</v>
      </c>
      <c r="BT62" s="209">
        <v>5500</v>
      </c>
      <c r="BU62" s="211">
        <v>11000</v>
      </c>
      <c r="BV62" s="212" t="s">
        <v>100</v>
      </c>
      <c r="BW62" s="212" t="s">
        <v>286</v>
      </c>
      <c r="BX62" s="213" t="s">
        <v>100</v>
      </c>
      <c r="BY62" s="213" t="s">
        <v>100</v>
      </c>
      <c r="BZ62" s="45">
        <v>2000</v>
      </c>
    </row>
    <row r="63" spans="2:78" ht="25.5">
      <c r="B63" s="290"/>
      <c r="C63" s="1"/>
      <c r="D63" s="296"/>
      <c r="E63" s="305"/>
      <c r="F63" s="308"/>
      <c r="G63" s="74">
        <v>625</v>
      </c>
      <c r="H63" s="62">
        <v>500</v>
      </c>
      <c r="I63" s="62">
        <v>10000</v>
      </c>
      <c r="J63" s="62">
        <v>10000</v>
      </c>
      <c r="K63" s="62">
        <v>50</v>
      </c>
      <c r="L63" s="62">
        <v>38</v>
      </c>
      <c r="M63" s="84" t="s">
        <v>254</v>
      </c>
      <c r="N63" s="63">
        <v>246073</v>
      </c>
      <c r="O63" s="62" t="s">
        <v>89</v>
      </c>
      <c r="P63" s="62">
        <v>8</v>
      </c>
      <c r="Q63" s="64" t="s">
        <v>90</v>
      </c>
      <c r="R63" s="64" t="s">
        <v>91</v>
      </c>
      <c r="S63" s="64" t="s">
        <v>91</v>
      </c>
      <c r="T63" s="65" t="s">
        <v>92</v>
      </c>
      <c r="U63" s="65" t="s">
        <v>93</v>
      </c>
      <c r="V63" s="62" t="s">
        <v>94</v>
      </c>
      <c r="W63" s="62">
        <v>31</v>
      </c>
      <c r="X63" s="66" t="s">
        <v>95</v>
      </c>
      <c r="Y63" s="66" t="s">
        <v>96</v>
      </c>
      <c r="Z63" s="87">
        <v>18000</v>
      </c>
      <c r="AA63" s="84" t="s">
        <v>188</v>
      </c>
      <c r="AB63" s="87">
        <v>5780</v>
      </c>
      <c r="AC63" s="62" t="s">
        <v>97</v>
      </c>
      <c r="AD63" s="75" t="s">
        <v>97</v>
      </c>
      <c r="AE63" s="35"/>
      <c r="AF63" s="37">
        <v>233881</v>
      </c>
      <c r="AG63" s="29" t="s">
        <v>98</v>
      </c>
      <c r="AH63" s="226">
        <v>19686</v>
      </c>
      <c r="AI63" s="48" t="s">
        <v>317</v>
      </c>
      <c r="AJ63" s="39">
        <v>18000</v>
      </c>
      <c r="AK63" s="39" t="s">
        <v>188</v>
      </c>
      <c r="AL63" s="39">
        <v>5840</v>
      </c>
      <c r="AM63" s="30" t="s">
        <v>99</v>
      </c>
      <c r="AN63" s="40">
        <v>58074</v>
      </c>
      <c r="AO63" s="41" t="s">
        <v>303</v>
      </c>
      <c r="AP63" s="41" t="s">
        <v>306</v>
      </c>
      <c r="AQ63" s="27">
        <v>3000</v>
      </c>
      <c r="AR63" s="27" t="s">
        <v>94</v>
      </c>
      <c r="AS63" s="27">
        <v>900</v>
      </c>
      <c r="AT63" s="29">
        <v>41</v>
      </c>
      <c r="AU63" s="29" t="s">
        <v>100</v>
      </c>
      <c r="AV63" s="31">
        <v>42</v>
      </c>
      <c r="AW63" s="31" t="s">
        <v>100</v>
      </c>
      <c r="AX63" s="42">
        <v>16000</v>
      </c>
      <c r="AY63" s="43" t="s">
        <v>100</v>
      </c>
      <c r="AZ63" s="43" t="s">
        <v>270</v>
      </c>
      <c r="BA63" s="32" t="s">
        <v>94</v>
      </c>
      <c r="BB63" s="32">
        <v>500</v>
      </c>
      <c r="BC63" s="44" t="s">
        <v>102</v>
      </c>
      <c r="BD63" s="33" t="s">
        <v>103</v>
      </c>
      <c r="BE63" s="271" t="s">
        <v>104</v>
      </c>
      <c r="BF63" s="271" t="s">
        <v>105</v>
      </c>
      <c r="BG63" s="269">
        <v>0</v>
      </c>
      <c r="BH63" s="42">
        <v>30000</v>
      </c>
      <c r="BI63" s="47" t="s">
        <v>100</v>
      </c>
      <c r="BJ63" s="32" t="s">
        <v>309</v>
      </c>
      <c r="BK63" s="32">
        <v>500</v>
      </c>
      <c r="BL63" s="26" t="s">
        <v>106</v>
      </c>
      <c r="BM63" s="26" t="s">
        <v>107</v>
      </c>
      <c r="BN63" s="209">
        <v>0</v>
      </c>
      <c r="BO63" s="26" t="s">
        <v>108</v>
      </c>
      <c r="BP63" s="34" t="s">
        <v>109</v>
      </c>
      <c r="BQ63" s="209">
        <v>4000</v>
      </c>
      <c r="BR63" s="26" t="s">
        <v>108</v>
      </c>
      <c r="BS63" s="34" t="s">
        <v>110</v>
      </c>
      <c r="BT63" s="209">
        <v>5500</v>
      </c>
      <c r="BU63" s="211">
        <v>11000</v>
      </c>
      <c r="BV63" s="212" t="s">
        <v>100</v>
      </c>
      <c r="BW63" s="212" t="s">
        <v>286</v>
      </c>
      <c r="BX63" s="213" t="s">
        <v>100</v>
      </c>
      <c r="BY63" s="213" t="s">
        <v>100</v>
      </c>
      <c r="BZ63" s="45">
        <v>2000</v>
      </c>
    </row>
    <row r="64" spans="2:78" ht="25.5">
      <c r="C64" s="1"/>
      <c r="D64" s="296"/>
      <c r="E64" s="305"/>
      <c r="F64" s="308"/>
      <c r="G64" s="74">
        <v>700</v>
      </c>
      <c r="H64" s="62">
        <v>560</v>
      </c>
      <c r="I64" s="62">
        <v>10000</v>
      </c>
      <c r="J64" s="62">
        <v>10000</v>
      </c>
      <c r="K64" s="62">
        <v>50</v>
      </c>
      <c r="L64" s="62">
        <v>42</v>
      </c>
      <c r="M64" s="84" t="s">
        <v>254</v>
      </c>
      <c r="N64" s="63">
        <v>250352</v>
      </c>
      <c r="O64" s="62" t="s">
        <v>89</v>
      </c>
      <c r="P64" s="62">
        <v>8</v>
      </c>
      <c r="Q64" s="64" t="s">
        <v>90</v>
      </c>
      <c r="R64" s="64" t="s">
        <v>91</v>
      </c>
      <c r="S64" s="64" t="s">
        <v>91</v>
      </c>
      <c r="T64" s="65" t="s">
        <v>92</v>
      </c>
      <c r="U64" s="65" t="s">
        <v>93</v>
      </c>
      <c r="V64" s="62" t="s">
        <v>94</v>
      </c>
      <c r="W64" s="62">
        <v>31</v>
      </c>
      <c r="X64" s="66" t="s">
        <v>95</v>
      </c>
      <c r="Y64" s="66" t="s">
        <v>96</v>
      </c>
      <c r="Z64" s="87">
        <v>18000</v>
      </c>
      <c r="AA64" s="84" t="s">
        <v>188</v>
      </c>
      <c r="AB64" s="87">
        <v>5780</v>
      </c>
      <c r="AC64" s="62" t="s">
        <v>97</v>
      </c>
      <c r="AD64" s="75" t="s">
        <v>97</v>
      </c>
      <c r="AE64" s="35"/>
      <c r="AF64" s="37">
        <v>234779</v>
      </c>
      <c r="AG64" s="29" t="s">
        <v>98</v>
      </c>
      <c r="AH64" s="226">
        <v>20028</v>
      </c>
      <c r="AI64" s="48" t="s">
        <v>317</v>
      </c>
      <c r="AJ64" s="39">
        <v>18000</v>
      </c>
      <c r="AK64" s="39" t="s">
        <v>188</v>
      </c>
      <c r="AL64" s="39">
        <v>5840</v>
      </c>
      <c r="AM64" s="30" t="s">
        <v>99</v>
      </c>
      <c r="AN64" s="40">
        <v>65566</v>
      </c>
      <c r="AO64" s="41" t="s">
        <v>303</v>
      </c>
      <c r="AP64" s="41" t="s">
        <v>306</v>
      </c>
      <c r="AQ64" s="27">
        <v>3000</v>
      </c>
      <c r="AR64" s="27" t="s">
        <v>94</v>
      </c>
      <c r="AS64" s="27">
        <v>900</v>
      </c>
      <c r="AT64" s="29">
        <v>41</v>
      </c>
      <c r="AU64" s="29" t="s">
        <v>100</v>
      </c>
      <c r="AV64" s="31">
        <v>42</v>
      </c>
      <c r="AW64" s="31" t="s">
        <v>100</v>
      </c>
      <c r="AX64" s="42">
        <v>16000</v>
      </c>
      <c r="AY64" s="43" t="s">
        <v>100</v>
      </c>
      <c r="AZ64" s="43" t="s">
        <v>270</v>
      </c>
      <c r="BA64" s="32" t="s">
        <v>94</v>
      </c>
      <c r="BB64" s="32">
        <v>500</v>
      </c>
      <c r="BC64" s="44" t="s">
        <v>102</v>
      </c>
      <c r="BD64" s="33" t="s">
        <v>103</v>
      </c>
      <c r="BE64" s="271" t="s">
        <v>104</v>
      </c>
      <c r="BF64" s="271" t="s">
        <v>105</v>
      </c>
      <c r="BG64" s="269">
        <v>0</v>
      </c>
      <c r="BH64" s="42">
        <v>30000</v>
      </c>
      <c r="BI64" s="47" t="s">
        <v>100</v>
      </c>
      <c r="BJ64" s="32" t="s">
        <v>309</v>
      </c>
      <c r="BK64" s="32">
        <v>500</v>
      </c>
      <c r="BL64" s="26" t="s">
        <v>106</v>
      </c>
      <c r="BM64" s="26" t="s">
        <v>107</v>
      </c>
      <c r="BN64" s="209">
        <v>0</v>
      </c>
      <c r="BO64" s="26" t="s">
        <v>108</v>
      </c>
      <c r="BP64" s="34" t="s">
        <v>109</v>
      </c>
      <c r="BQ64" s="209">
        <v>4000</v>
      </c>
      <c r="BR64" s="26" t="s">
        <v>108</v>
      </c>
      <c r="BS64" s="34" t="s">
        <v>110</v>
      </c>
      <c r="BT64" s="209">
        <v>5500</v>
      </c>
      <c r="BU64" s="211">
        <v>11000</v>
      </c>
      <c r="BV64" s="212" t="s">
        <v>100</v>
      </c>
      <c r="BW64" s="212" t="s">
        <v>286</v>
      </c>
      <c r="BX64" s="213" t="s">
        <v>100</v>
      </c>
      <c r="BY64" s="213" t="s">
        <v>100</v>
      </c>
      <c r="BZ64" s="45">
        <v>2000</v>
      </c>
    </row>
    <row r="65" spans="3:78" ht="25.5">
      <c r="C65" s="1"/>
      <c r="D65" s="296"/>
      <c r="E65" s="305"/>
      <c r="F65" s="308"/>
      <c r="G65" s="74">
        <v>790</v>
      </c>
      <c r="H65" s="62">
        <v>630</v>
      </c>
      <c r="I65" s="62">
        <v>10000</v>
      </c>
      <c r="J65" s="62">
        <v>10000</v>
      </c>
      <c r="K65" s="62">
        <v>50</v>
      </c>
      <c r="L65" s="62">
        <v>47</v>
      </c>
      <c r="M65" s="84" t="s">
        <v>254</v>
      </c>
      <c r="N65" s="63">
        <v>256154</v>
      </c>
      <c r="O65" s="62" t="s">
        <v>89</v>
      </c>
      <c r="P65" s="62">
        <v>8</v>
      </c>
      <c r="Q65" s="64" t="s">
        <v>90</v>
      </c>
      <c r="R65" s="64" t="s">
        <v>91</v>
      </c>
      <c r="S65" s="64" t="s">
        <v>91</v>
      </c>
      <c r="T65" s="65" t="s">
        <v>92</v>
      </c>
      <c r="U65" s="65" t="s">
        <v>93</v>
      </c>
      <c r="V65" s="62" t="s">
        <v>94</v>
      </c>
      <c r="W65" s="62">
        <v>31</v>
      </c>
      <c r="X65" s="66" t="s">
        <v>95</v>
      </c>
      <c r="Y65" s="66" t="s">
        <v>96</v>
      </c>
      <c r="Z65" s="87">
        <v>18000</v>
      </c>
      <c r="AA65" s="84" t="s">
        <v>188</v>
      </c>
      <c r="AB65" s="87">
        <v>5780</v>
      </c>
      <c r="AC65" s="62" t="s">
        <v>97</v>
      </c>
      <c r="AD65" s="75" t="s">
        <v>97</v>
      </c>
      <c r="AE65" s="35"/>
      <c r="AF65" s="37">
        <v>237191</v>
      </c>
      <c r="AG65" s="29" t="s">
        <v>98</v>
      </c>
      <c r="AH65" s="226">
        <v>20492</v>
      </c>
      <c r="AI65" s="48" t="s">
        <v>317</v>
      </c>
      <c r="AJ65" s="39">
        <v>18000</v>
      </c>
      <c r="AK65" s="39" t="s">
        <v>188</v>
      </c>
      <c r="AL65" s="39">
        <v>5840</v>
      </c>
      <c r="AM65" s="30" t="s">
        <v>99</v>
      </c>
      <c r="AN65" s="40">
        <v>65566</v>
      </c>
      <c r="AO65" s="41" t="s">
        <v>303</v>
      </c>
      <c r="AP65" s="41" t="s">
        <v>306</v>
      </c>
      <c r="AQ65" s="27">
        <v>3000</v>
      </c>
      <c r="AR65" s="27" t="s">
        <v>94</v>
      </c>
      <c r="AS65" s="27">
        <v>900</v>
      </c>
      <c r="AT65" s="29">
        <v>41</v>
      </c>
      <c r="AU65" s="29" t="s">
        <v>100</v>
      </c>
      <c r="AV65" s="31">
        <v>42</v>
      </c>
      <c r="AW65" s="31" t="s">
        <v>100</v>
      </c>
      <c r="AX65" s="42">
        <v>16000</v>
      </c>
      <c r="AY65" s="43" t="s">
        <v>100</v>
      </c>
      <c r="AZ65" s="43" t="s">
        <v>270</v>
      </c>
      <c r="BA65" s="32" t="s">
        <v>94</v>
      </c>
      <c r="BB65" s="32">
        <v>500</v>
      </c>
      <c r="BC65" s="44" t="s">
        <v>102</v>
      </c>
      <c r="BD65" s="33" t="s">
        <v>103</v>
      </c>
      <c r="BE65" s="271" t="s">
        <v>104</v>
      </c>
      <c r="BF65" s="271" t="s">
        <v>105</v>
      </c>
      <c r="BG65" s="269">
        <v>0</v>
      </c>
      <c r="BH65" s="42">
        <v>30000</v>
      </c>
      <c r="BI65" s="47" t="s">
        <v>100</v>
      </c>
      <c r="BJ65" s="32" t="s">
        <v>309</v>
      </c>
      <c r="BK65" s="32">
        <v>500</v>
      </c>
      <c r="BL65" s="26" t="s">
        <v>106</v>
      </c>
      <c r="BM65" s="26" t="s">
        <v>107</v>
      </c>
      <c r="BN65" s="209">
        <v>0</v>
      </c>
      <c r="BO65" s="26" t="s">
        <v>108</v>
      </c>
      <c r="BP65" s="34" t="s">
        <v>109</v>
      </c>
      <c r="BQ65" s="209">
        <v>4000</v>
      </c>
      <c r="BR65" s="26" t="s">
        <v>108</v>
      </c>
      <c r="BS65" s="34" t="s">
        <v>110</v>
      </c>
      <c r="BT65" s="209">
        <v>5500</v>
      </c>
      <c r="BU65" s="211">
        <v>11000</v>
      </c>
      <c r="BV65" s="212" t="s">
        <v>100</v>
      </c>
      <c r="BW65" s="212" t="s">
        <v>286</v>
      </c>
      <c r="BX65" s="213" t="s">
        <v>100</v>
      </c>
      <c r="BY65" s="213" t="s">
        <v>100</v>
      </c>
      <c r="BZ65" s="45">
        <v>2000</v>
      </c>
    </row>
    <row r="66" spans="3:78" ht="25.5">
      <c r="C66" s="1"/>
      <c r="D66" s="296"/>
      <c r="E66" s="305"/>
      <c r="F66" s="308"/>
      <c r="G66" s="74">
        <v>890</v>
      </c>
      <c r="H66" s="62">
        <v>710</v>
      </c>
      <c r="I66" s="62">
        <v>10000</v>
      </c>
      <c r="J66" s="62">
        <v>10000</v>
      </c>
      <c r="K66" s="62">
        <v>50</v>
      </c>
      <c r="L66" s="62">
        <v>53</v>
      </c>
      <c r="M66" s="84" t="s">
        <v>254</v>
      </c>
      <c r="N66" s="63">
        <v>260440</v>
      </c>
      <c r="O66" s="62" t="s">
        <v>89</v>
      </c>
      <c r="P66" s="62">
        <v>8</v>
      </c>
      <c r="Q66" s="64" t="s">
        <v>90</v>
      </c>
      <c r="R66" s="64" t="s">
        <v>91</v>
      </c>
      <c r="S66" s="64" t="s">
        <v>91</v>
      </c>
      <c r="T66" s="65" t="s">
        <v>92</v>
      </c>
      <c r="U66" s="65" t="s">
        <v>93</v>
      </c>
      <c r="V66" s="62" t="s">
        <v>94</v>
      </c>
      <c r="W66" s="62">
        <v>31</v>
      </c>
      <c r="X66" s="66" t="s">
        <v>95</v>
      </c>
      <c r="Y66" s="66" t="s">
        <v>96</v>
      </c>
      <c r="Z66" s="87">
        <v>18000</v>
      </c>
      <c r="AA66" s="84" t="s">
        <v>188</v>
      </c>
      <c r="AB66" s="87">
        <v>5780</v>
      </c>
      <c r="AC66" s="62" t="s">
        <v>97</v>
      </c>
      <c r="AD66" s="75" t="s">
        <v>97</v>
      </c>
      <c r="AE66" s="35"/>
      <c r="AF66" s="37">
        <v>240882</v>
      </c>
      <c r="AG66" s="29" t="s">
        <v>98</v>
      </c>
      <c r="AH66" s="226">
        <v>20835</v>
      </c>
      <c r="AI66" s="48" t="s">
        <v>317</v>
      </c>
      <c r="AJ66" s="39">
        <v>18000</v>
      </c>
      <c r="AK66" s="39" t="s">
        <v>188</v>
      </c>
      <c r="AL66" s="39">
        <v>5840</v>
      </c>
      <c r="AM66" s="30" t="s">
        <v>99</v>
      </c>
      <c r="AN66" s="40">
        <v>65566</v>
      </c>
      <c r="AO66" s="41" t="s">
        <v>303</v>
      </c>
      <c r="AP66" s="41" t="s">
        <v>306</v>
      </c>
      <c r="AQ66" s="27">
        <v>3000</v>
      </c>
      <c r="AR66" s="27" t="s">
        <v>94</v>
      </c>
      <c r="AS66" s="27">
        <v>900</v>
      </c>
      <c r="AT66" s="29">
        <v>41</v>
      </c>
      <c r="AU66" s="29" t="s">
        <v>100</v>
      </c>
      <c r="AV66" s="31">
        <v>42</v>
      </c>
      <c r="AW66" s="31" t="s">
        <v>100</v>
      </c>
      <c r="AX66" s="42">
        <v>16000</v>
      </c>
      <c r="AY66" s="43" t="s">
        <v>100</v>
      </c>
      <c r="AZ66" s="43" t="s">
        <v>270</v>
      </c>
      <c r="BA66" s="32" t="s">
        <v>94</v>
      </c>
      <c r="BB66" s="32">
        <v>500</v>
      </c>
      <c r="BC66" s="44" t="s">
        <v>102</v>
      </c>
      <c r="BD66" s="33" t="s">
        <v>103</v>
      </c>
      <c r="BE66" s="271" t="s">
        <v>104</v>
      </c>
      <c r="BF66" s="271" t="s">
        <v>105</v>
      </c>
      <c r="BG66" s="269">
        <v>0</v>
      </c>
      <c r="BH66" s="42">
        <v>30000</v>
      </c>
      <c r="BI66" s="47" t="s">
        <v>100</v>
      </c>
      <c r="BJ66" s="32" t="s">
        <v>309</v>
      </c>
      <c r="BK66" s="32">
        <v>500</v>
      </c>
      <c r="BL66" s="26" t="s">
        <v>106</v>
      </c>
      <c r="BM66" s="26" t="s">
        <v>107</v>
      </c>
      <c r="BN66" s="209">
        <v>0</v>
      </c>
      <c r="BO66" s="26" t="s">
        <v>108</v>
      </c>
      <c r="BP66" s="34" t="s">
        <v>109</v>
      </c>
      <c r="BQ66" s="209">
        <v>4000</v>
      </c>
      <c r="BR66" s="26" t="s">
        <v>108</v>
      </c>
      <c r="BS66" s="34" t="s">
        <v>110</v>
      </c>
      <c r="BT66" s="209">
        <v>5500</v>
      </c>
      <c r="BU66" s="211">
        <v>11000</v>
      </c>
      <c r="BV66" s="212" t="s">
        <v>100</v>
      </c>
      <c r="BW66" s="212" t="s">
        <v>286</v>
      </c>
      <c r="BX66" s="213" t="s">
        <v>100</v>
      </c>
      <c r="BY66" s="213" t="s">
        <v>100</v>
      </c>
      <c r="BZ66" s="45">
        <v>2000</v>
      </c>
    </row>
    <row r="67" spans="3:78" ht="26.25" thickBot="1">
      <c r="C67" s="1"/>
      <c r="D67" s="296"/>
      <c r="E67" s="305"/>
      <c r="F67" s="308"/>
      <c r="G67" s="92">
        <v>1000</v>
      </c>
      <c r="H67" s="93">
        <v>800</v>
      </c>
      <c r="I67" s="93">
        <v>10000</v>
      </c>
      <c r="J67" s="93">
        <v>10000</v>
      </c>
      <c r="K67" s="93">
        <v>50</v>
      </c>
      <c r="L67" s="93">
        <v>58</v>
      </c>
      <c r="M67" s="94" t="s">
        <v>254</v>
      </c>
      <c r="N67" s="95">
        <v>278850</v>
      </c>
      <c r="O67" s="93" t="s">
        <v>89</v>
      </c>
      <c r="P67" s="93">
        <v>8</v>
      </c>
      <c r="Q67" s="96" t="s">
        <v>90</v>
      </c>
      <c r="R67" s="96" t="s">
        <v>91</v>
      </c>
      <c r="S67" s="96" t="s">
        <v>91</v>
      </c>
      <c r="T67" s="97" t="s">
        <v>92</v>
      </c>
      <c r="U67" s="97" t="s">
        <v>93</v>
      </c>
      <c r="V67" s="93" t="s">
        <v>94</v>
      </c>
      <c r="W67" s="93">
        <v>31</v>
      </c>
      <c r="X67" s="98" t="s">
        <v>95</v>
      </c>
      <c r="Y67" s="98" t="s">
        <v>96</v>
      </c>
      <c r="Z67" s="99">
        <v>18000</v>
      </c>
      <c r="AA67" s="94" t="s">
        <v>188</v>
      </c>
      <c r="AB67" s="99">
        <v>5780</v>
      </c>
      <c r="AC67" s="93" t="s">
        <v>97</v>
      </c>
      <c r="AD67" s="100" t="s">
        <v>97</v>
      </c>
      <c r="AE67" s="35"/>
      <c r="AF67" s="37">
        <v>258782</v>
      </c>
      <c r="AG67" s="29" t="s">
        <v>98</v>
      </c>
      <c r="AH67" s="218">
        <v>22308</v>
      </c>
      <c r="AI67" s="219" t="s">
        <v>317</v>
      </c>
      <c r="AJ67" s="220">
        <v>18000</v>
      </c>
      <c r="AK67" s="220" t="s">
        <v>188</v>
      </c>
      <c r="AL67" s="220">
        <v>5840</v>
      </c>
      <c r="AM67" s="221" t="s">
        <v>99</v>
      </c>
      <c r="AN67" s="40">
        <v>65566</v>
      </c>
      <c r="AO67" s="41" t="s">
        <v>303</v>
      </c>
      <c r="AP67" s="41" t="s">
        <v>306</v>
      </c>
      <c r="AQ67" s="27">
        <v>3000</v>
      </c>
      <c r="AR67" s="27" t="s">
        <v>94</v>
      </c>
      <c r="AS67" s="27">
        <v>900</v>
      </c>
      <c r="AT67" s="29">
        <v>41</v>
      </c>
      <c r="AU67" s="29" t="s">
        <v>100</v>
      </c>
      <c r="AV67" s="31">
        <v>42</v>
      </c>
      <c r="AW67" s="31" t="s">
        <v>100</v>
      </c>
      <c r="AX67" s="42">
        <v>16000</v>
      </c>
      <c r="AY67" s="43" t="s">
        <v>100</v>
      </c>
      <c r="AZ67" s="43" t="s">
        <v>270</v>
      </c>
      <c r="BA67" s="32" t="s">
        <v>94</v>
      </c>
      <c r="BB67" s="32">
        <v>500</v>
      </c>
      <c r="BC67" s="44" t="s">
        <v>102</v>
      </c>
      <c r="BD67" s="33" t="s">
        <v>103</v>
      </c>
      <c r="BE67" s="271" t="s">
        <v>104</v>
      </c>
      <c r="BF67" s="271" t="s">
        <v>105</v>
      </c>
      <c r="BG67" s="269">
        <v>0</v>
      </c>
      <c r="BH67" s="42">
        <v>30000</v>
      </c>
      <c r="BI67" s="47" t="s">
        <v>100</v>
      </c>
      <c r="BJ67" s="32" t="s">
        <v>309</v>
      </c>
      <c r="BK67" s="32">
        <v>500</v>
      </c>
      <c r="BL67" s="26" t="s">
        <v>106</v>
      </c>
      <c r="BM67" s="26" t="s">
        <v>107</v>
      </c>
      <c r="BN67" s="209">
        <v>0</v>
      </c>
      <c r="BO67" s="26" t="s">
        <v>108</v>
      </c>
      <c r="BP67" s="34" t="s">
        <v>109</v>
      </c>
      <c r="BQ67" s="209">
        <v>4000</v>
      </c>
      <c r="BR67" s="26" t="s">
        <v>108</v>
      </c>
      <c r="BS67" s="34" t="s">
        <v>110</v>
      </c>
      <c r="BT67" s="209">
        <v>5500</v>
      </c>
      <c r="BU67" s="211">
        <v>11000</v>
      </c>
      <c r="BV67" s="212" t="s">
        <v>100</v>
      </c>
      <c r="BW67" s="212" t="s">
        <v>286</v>
      </c>
      <c r="BX67" s="213" t="s">
        <v>100</v>
      </c>
      <c r="BY67" s="213" t="s">
        <v>100</v>
      </c>
      <c r="BZ67" s="45">
        <v>2000</v>
      </c>
    </row>
    <row r="68" spans="3:78" ht="25.5">
      <c r="C68" s="1"/>
      <c r="D68" s="296"/>
      <c r="E68" s="305"/>
      <c r="F68" s="308"/>
      <c r="G68" s="67">
        <v>1125</v>
      </c>
      <c r="H68" s="68">
        <v>900</v>
      </c>
      <c r="I68" s="68">
        <v>10000</v>
      </c>
      <c r="J68" s="68">
        <v>10000</v>
      </c>
      <c r="K68" s="68">
        <v>50</v>
      </c>
      <c r="L68" s="68">
        <v>66</v>
      </c>
      <c r="M68" s="103" t="s">
        <v>255</v>
      </c>
      <c r="N68" s="69">
        <v>288234</v>
      </c>
      <c r="O68" s="68" t="s">
        <v>89</v>
      </c>
      <c r="P68" s="68">
        <v>8</v>
      </c>
      <c r="Q68" s="70" t="s">
        <v>90</v>
      </c>
      <c r="R68" s="70" t="s">
        <v>91</v>
      </c>
      <c r="S68" s="70" t="s">
        <v>91</v>
      </c>
      <c r="T68" s="71" t="s">
        <v>92</v>
      </c>
      <c r="U68" s="71" t="s">
        <v>93</v>
      </c>
      <c r="V68" s="68" t="s">
        <v>94</v>
      </c>
      <c r="W68" s="68">
        <v>31</v>
      </c>
      <c r="X68" s="72" t="s">
        <v>95</v>
      </c>
      <c r="Y68" s="72" t="s">
        <v>96</v>
      </c>
      <c r="Z68" s="104">
        <v>21000</v>
      </c>
      <c r="AA68" s="103" t="s">
        <v>189</v>
      </c>
      <c r="AB68" s="104">
        <v>7400</v>
      </c>
      <c r="AC68" s="68" t="s">
        <v>97</v>
      </c>
      <c r="AD68" s="73" t="s">
        <v>97</v>
      </c>
      <c r="AE68" s="35"/>
      <c r="AF68" s="37">
        <v>265064</v>
      </c>
      <c r="AG68" s="29" t="s">
        <v>98</v>
      </c>
      <c r="AH68" s="222">
        <v>23059</v>
      </c>
      <c r="AI68" s="223" t="s">
        <v>318</v>
      </c>
      <c r="AJ68" s="224">
        <v>21000</v>
      </c>
      <c r="AK68" s="224" t="s">
        <v>189</v>
      </c>
      <c r="AL68" s="224">
        <v>7460</v>
      </c>
      <c r="AM68" s="225" t="s">
        <v>99</v>
      </c>
      <c r="AN68" s="40">
        <v>65566</v>
      </c>
      <c r="AO68" s="41" t="s">
        <v>303</v>
      </c>
      <c r="AP68" s="41" t="s">
        <v>306</v>
      </c>
      <c r="AQ68" s="27">
        <v>3000</v>
      </c>
      <c r="AR68" s="27" t="s">
        <v>94</v>
      </c>
      <c r="AS68" s="27">
        <v>900</v>
      </c>
      <c r="AT68" s="29">
        <v>41</v>
      </c>
      <c r="AU68" s="29" t="s">
        <v>100</v>
      </c>
      <c r="AV68" s="31">
        <v>42</v>
      </c>
      <c r="AW68" s="31" t="s">
        <v>100</v>
      </c>
      <c r="AX68" s="42">
        <v>16000</v>
      </c>
      <c r="AY68" s="43" t="s">
        <v>100</v>
      </c>
      <c r="AZ68" s="43" t="s">
        <v>270</v>
      </c>
      <c r="BA68" s="32" t="s">
        <v>94</v>
      </c>
      <c r="BB68" s="32">
        <v>500</v>
      </c>
      <c r="BC68" s="44" t="s">
        <v>102</v>
      </c>
      <c r="BD68" s="33" t="s">
        <v>103</v>
      </c>
      <c r="BE68" s="271" t="s">
        <v>104</v>
      </c>
      <c r="BF68" s="271" t="s">
        <v>105</v>
      </c>
      <c r="BG68" s="269">
        <v>0</v>
      </c>
      <c r="BH68" s="42">
        <v>30000</v>
      </c>
      <c r="BI68" s="47" t="s">
        <v>100</v>
      </c>
      <c r="BJ68" s="32" t="s">
        <v>309</v>
      </c>
      <c r="BK68" s="32">
        <v>500</v>
      </c>
      <c r="BL68" s="26" t="s">
        <v>106</v>
      </c>
      <c r="BM68" s="26" t="s">
        <v>107</v>
      </c>
      <c r="BN68" s="209">
        <v>0</v>
      </c>
      <c r="BO68" s="26" t="s">
        <v>108</v>
      </c>
      <c r="BP68" s="34" t="s">
        <v>109</v>
      </c>
      <c r="BQ68" s="209">
        <v>4000</v>
      </c>
      <c r="BR68" s="26" t="s">
        <v>108</v>
      </c>
      <c r="BS68" s="34" t="s">
        <v>110</v>
      </c>
      <c r="BT68" s="209">
        <v>5500</v>
      </c>
      <c r="BU68" s="211">
        <v>11000</v>
      </c>
      <c r="BV68" s="212" t="s">
        <v>100</v>
      </c>
      <c r="BW68" s="212" t="s">
        <v>286</v>
      </c>
      <c r="BX68" s="213" t="s">
        <v>100</v>
      </c>
      <c r="BY68" s="213" t="s">
        <v>100</v>
      </c>
      <c r="BZ68" s="45">
        <v>2000</v>
      </c>
    </row>
    <row r="69" spans="3:78" ht="25.5">
      <c r="C69" s="1"/>
      <c r="D69" s="296"/>
      <c r="E69" s="305"/>
      <c r="F69" s="308"/>
      <c r="G69" s="74">
        <v>1250</v>
      </c>
      <c r="H69" s="62">
        <v>1000</v>
      </c>
      <c r="I69" s="62">
        <v>10000</v>
      </c>
      <c r="J69" s="62">
        <v>10000</v>
      </c>
      <c r="K69" s="62">
        <v>50</v>
      </c>
      <c r="L69" s="62">
        <v>73</v>
      </c>
      <c r="M69" s="101" t="s">
        <v>255</v>
      </c>
      <c r="N69" s="63">
        <v>296491</v>
      </c>
      <c r="O69" s="62" t="s">
        <v>89</v>
      </c>
      <c r="P69" s="62">
        <v>8</v>
      </c>
      <c r="Q69" s="64" t="s">
        <v>90</v>
      </c>
      <c r="R69" s="64" t="s">
        <v>91</v>
      </c>
      <c r="S69" s="64" t="s">
        <v>91</v>
      </c>
      <c r="T69" s="65" t="s">
        <v>92</v>
      </c>
      <c r="U69" s="65" t="s">
        <v>93</v>
      </c>
      <c r="V69" s="62" t="s">
        <v>94</v>
      </c>
      <c r="W69" s="62">
        <v>31</v>
      </c>
      <c r="X69" s="66" t="s">
        <v>95</v>
      </c>
      <c r="Y69" s="66" t="s">
        <v>96</v>
      </c>
      <c r="Z69" s="102">
        <v>21000</v>
      </c>
      <c r="AA69" s="101" t="s">
        <v>189</v>
      </c>
      <c r="AB69" s="102">
        <v>7400</v>
      </c>
      <c r="AC69" s="62" t="s">
        <v>97</v>
      </c>
      <c r="AD69" s="75" t="s">
        <v>97</v>
      </c>
      <c r="AE69" s="35"/>
      <c r="AF69" s="37">
        <v>270054</v>
      </c>
      <c r="AG69" s="29" t="s">
        <v>98</v>
      </c>
      <c r="AH69" s="226">
        <v>23719</v>
      </c>
      <c r="AI69" s="48" t="s">
        <v>318</v>
      </c>
      <c r="AJ69" s="39">
        <v>21000</v>
      </c>
      <c r="AK69" s="39" t="s">
        <v>189</v>
      </c>
      <c r="AL69" s="39">
        <v>7460</v>
      </c>
      <c r="AM69" s="30" t="s">
        <v>99</v>
      </c>
      <c r="AN69" s="40">
        <v>65566</v>
      </c>
      <c r="AO69" s="41" t="s">
        <v>303</v>
      </c>
      <c r="AP69" s="41" t="s">
        <v>306</v>
      </c>
      <c r="AQ69" s="27">
        <v>3000</v>
      </c>
      <c r="AR69" s="27" t="s">
        <v>94</v>
      </c>
      <c r="AS69" s="27">
        <v>900</v>
      </c>
      <c r="AT69" s="29">
        <v>41</v>
      </c>
      <c r="AU69" s="29" t="s">
        <v>100</v>
      </c>
      <c r="AV69" s="31">
        <v>42</v>
      </c>
      <c r="AW69" s="31" t="s">
        <v>100</v>
      </c>
      <c r="AX69" s="42">
        <v>16000</v>
      </c>
      <c r="AY69" s="43" t="s">
        <v>100</v>
      </c>
      <c r="AZ69" s="43" t="s">
        <v>270</v>
      </c>
      <c r="BA69" s="32" t="s">
        <v>94</v>
      </c>
      <c r="BB69" s="32">
        <v>500</v>
      </c>
      <c r="BC69" s="44" t="s">
        <v>102</v>
      </c>
      <c r="BD69" s="33" t="s">
        <v>103</v>
      </c>
      <c r="BE69" s="271" t="s">
        <v>104</v>
      </c>
      <c r="BF69" s="271" t="s">
        <v>105</v>
      </c>
      <c r="BG69" s="269">
        <v>0</v>
      </c>
      <c r="BH69" s="42">
        <v>30000</v>
      </c>
      <c r="BI69" s="47" t="s">
        <v>100</v>
      </c>
      <c r="BJ69" s="32" t="s">
        <v>309</v>
      </c>
      <c r="BK69" s="32">
        <v>500</v>
      </c>
      <c r="BL69" s="26" t="s">
        <v>106</v>
      </c>
      <c r="BM69" s="26" t="s">
        <v>107</v>
      </c>
      <c r="BN69" s="209">
        <v>0</v>
      </c>
      <c r="BO69" s="26" t="s">
        <v>108</v>
      </c>
      <c r="BP69" s="34" t="s">
        <v>109</v>
      </c>
      <c r="BQ69" s="209">
        <v>4000</v>
      </c>
      <c r="BR69" s="26" t="s">
        <v>108</v>
      </c>
      <c r="BS69" s="34" t="s">
        <v>110</v>
      </c>
      <c r="BT69" s="209">
        <v>5500</v>
      </c>
      <c r="BU69" s="211">
        <v>11000</v>
      </c>
      <c r="BV69" s="212" t="s">
        <v>100</v>
      </c>
      <c r="BW69" s="212" t="s">
        <v>286</v>
      </c>
      <c r="BX69" s="213" t="s">
        <v>100</v>
      </c>
      <c r="BY69" s="213" t="s">
        <v>100</v>
      </c>
      <c r="BZ69" s="45">
        <v>2000</v>
      </c>
    </row>
    <row r="70" spans="3:78" ht="25.5">
      <c r="C70" s="1"/>
      <c r="D70" s="296"/>
      <c r="E70" s="305"/>
      <c r="F70" s="308"/>
      <c r="G70" s="74">
        <v>1400</v>
      </c>
      <c r="H70" s="62">
        <v>1120</v>
      </c>
      <c r="I70" s="62">
        <v>10000</v>
      </c>
      <c r="J70" s="62">
        <v>10000</v>
      </c>
      <c r="K70" s="62">
        <v>50</v>
      </c>
      <c r="L70" s="62">
        <v>82</v>
      </c>
      <c r="M70" s="101" t="s">
        <v>255</v>
      </c>
      <c r="N70" s="63">
        <v>319718</v>
      </c>
      <c r="O70" s="62" t="s">
        <v>89</v>
      </c>
      <c r="P70" s="62">
        <v>8</v>
      </c>
      <c r="Q70" s="64" t="s">
        <v>90</v>
      </c>
      <c r="R70" s="64" t="s">
        <v>91</v>
      </c>
      <c r="S70" s="64" t="s">
        <v>91</v>
      </c>
      <c r="T70" s="65" t="s">
        <v>92</v>
      </c>
      <c r="U70" s="65" t="s">
        <v>93</v>
      </c>
      <c r="V70" s="62" t="s">
        <v>94</v>
      </c>
      <c r="W70" s="62">
        <v>31</v>
      </c>
      <c r="X70" s="66" t="s">
        <v>95</v>
      </c>
      <c r="Y70" s="66" t="s">
        <v>96</v>
      </c>
      <c r="Z70" s="102">
        <v>21000</v>
      </c>
      <c r="AA70" s="101" t="s">
        <v>189</v>
      </c>
      <c r="AB70" s="102">
        <v>7400</v>
      </c>
      <c r="AC70" s="62" t="s">
        <v>97</v>
      </c>
      <c r="AD70" s="75" t="s">
        <v>97</v>
      </c>
      <c r="AE70" s="35"/>
      <c r="AF70" s="37">
        <v>289641</v>
      </c>
      <c r="AG70" s="29" t="s">
        <v>98</v>
      </c>
      <c r="AH70" s="226">
        <v>25577</v>
      </c>
      <c r="AI70" s="48" t="s">
        <v>318</v>
      </c>
      <c r="AJ70" s="39">
        <v>21000</v>
      </c>
      <c r="AK70" s="39" t="s">
        <v>189</v>
      </c>
      <c r="AL70" s="39">
        <v>7460</v>
      </c>
      <c r="AM70" s="30" t="s">
        <v>99</v>
      </c>
      <c r="AN70" s="40">
        <v>65566</v>
      </c>
      <c r="AO70" s="41" t="s">
        <v>303</v>
      </c>
      <c r="AP70" s="41" t="s">
        <v>306</v>
      </c>
      <c r="AQ70" s="27">
        <v>3000</v>
      </c>
      <c r="AR70" s="27" t="s">
        <v>94</v>
      </c>
      <c r="AS70" s="27">
        <v>900</v>
      </c>
      <c r="AT70" s="29">
        <v>41</v>
      </c>
      <c r="AU70" s="29" t="s">
        <v>100</v>
      </c>
      <c r="AV70" s="31">
        <v>42</v>
      </c>
      <c r="AW70" s="31" t="s">
        <v>100</v>
      </c>
      <c r="AX70" s="42">
        <v>16000</v>
      </c>
      <c r="AY70" s="43" t="s">
        <v>100</v>
      </c>
      <c r="AZ70" s="43" t="s">
        <v>270</v>
      </c>
      <c r="BA70" s="32" t="s">
        <v>94</v>
      </c>
      <c r="BB70" s="32">
        <v>500</v>
      </c>
      <c r="BC70" s="44" t="s">
        <v>102</v>
      </c>
      <c r="BD70" s="33" t="s">
        <v>103</v>
      </c>
      <c r="BE70" s="271" t="s">
        <v>104</v>
      </c>
      <c r="BF70" s="271" t="s">
        <v>105</v>
      </c>
      <c r="BG70" s="269">
        <v>0</v>
      </c>
      <c r="BH70" s="42">
        <v>33000</v>
      </c>
      <c r="BI70" s="47" t="s">
        <v>100</v>
      </c>
      <c r="BJ70" s="32" t="s">
        <v>101</v>
      </c>
      <c r="BK70" s="32" t="s">
        <v>100</v>
      </c>
      <c r="BL70" s="26" t="s">
        <v>106</v>
      </c>
      <c r="BM70" s="26" t="s">
        <v>107</v>
      </c>
      <c r="BN70" s="209">
        <v>0</v>
      </c>
      <c r="BO70" s="26" t="s">
        <v>108</v>
      </c>
      <c r="BP70" s="34" t="s">
        <v>109</v>
      </c>
      <c r="BQ70" s="209">
        <v>4000</v>
      </c>
      <c r="BR70" s="26" t="s">
        <v>108</v>
      </c>
      <c r="BS70" s="34" t="s">
        <v>110</v>
      </c>
      <c r="BT70" s="209">
        <v>5500</v>
      </c>
      <c r="BU70" s="211">
        <v>11000</v>
      </c>
      <c r="BV70" s="212" t="s">
        <v>100</v>
      </c>
      <c r="BW70" s="212" t="s">
        <v>286</v>
      </c>
      <c r="BX70" s="213" t="s">
        <v>100</v>
      </c>
      <c r="BY70" s="213" t="s">
        <v>100</v>
      </c>
      <c r="BZ70" s="45">
        <v>2000</v>
      </c>
    </row>
    <row r="71" spans="3:78" ht="25.5">
      <c r="C71" s="1"/>
      <c r="D71" s="296"/>
      <c r="E71" s="305"/>
      <c r="F71" s="308"/>
      <c r="G71" s="74">
        <v>1565</v>
      </c>
      <c r="H71" s="62">
        <v>1250</v>
      </c>
      <c r="I71" s="62">
        <v>10000</v>
      </c>
      <c r="J71" s="62">
        <v>10000</v>
      </c>
      <c r="K71" s="62">
        <v>50</v>
      </c>
      <c r="L71" s="62">
        <v>91</v>
      </c>
      <c r="M71" s="101" t="s">
        <v>255</v>
      </c>
      <c r="N71" s="63">
        <v>325879</v>
      </c>
      <c r="O71" s="62" t="s">
        <v>89</v>
      </c>
      <c r="P71" s="62">
        <v>8</v>
      </c>
      <c r="Q71" s="64" t="s">
        <v>90</v>
      </c>
      <c r="R71" s="64" t="s">
        <v>91</v>
      </c>
      <c r="S71" s="64" t="s">
        <v>91</v>
      </c>
      <c r="T71" s="65" t="s">
        <v>92</v>
      </c>
      <c r="U71" s="65" t="s">
        <v>93</v>
      </c>
      <c r="V71" s="62" t="s">
        <v>94</v>
      </c>
      <c r="W71" s="62">
        <v>31</v>
      </c>
      <c r="X71" s="66" t="s">
        <v>95</v>
      </c>
      <c r="Y71" s="66" t="s">
        <v>96</v>
      </c>
      <c r="Z71" s="102">
        <v>21000</v>
      </c>
      <c r="AA71" s="101" t="s">
        <v>189</v>
      </c>
      <c r="AB71" s="102">
        <v>7400</v>
      </c>
      <c r="AC71" s="62" t="s">
        <v>97</v>
      </c>
      <c r="AD71" s="75" t="s">
        <v>97</v>
      </c>
      <c r="AE71" s="35"/>
      <c r="AF71" s="37">
        <v>297137</v>
      </c>
      <c r="AG71" s="29" t="s">
        <v>98</v>
      </c>
      <c r="AH71" s="226">
        <v>26070</v>
      </c>
      <c r="AI71" s="48" t="s">
        <v>318</v>
      </c>
      <c r="AJ71" s="39">
        <v>21000</v>
      </c>
      <c r="AK71" s="39" t="s">
        <v>189</v>
      </c>
      <c r="AL71" s="39">
        <v>7460</v>
      </c>
      <c r="AM71" s="30" t="s">
        <v>99</v>
      </c>
      <c r="AN71" s="40">
        <v>65566</v>
      </c>
      <c r="AO71" s="41" t="s">
        <v>303</v>
      </c>
      <c r="AP71" s="41" t="s">
        <v>306</v>
      </c>
      <c r="AQ71" s="27">
        <v>3000</v>
      </c>
      <c r="AR71" s="27" t="s">
        <v>94</v>
      </c>
      <c r="AS71" s="27">
        <v>900</v>
      </c>
      <c r="AT71" s="29">
        <v>41</v>
      </c>
      <c r="AU71" s="29" t="s">
        <v>100</v>
      </c>
      <c r="AV71" s="31">
        <v>42</v>
      </c>
      <c r="AW71" s="31" t="s">
        <v>100</v>
      </c>
      <c r="AX71" s="42">
        <v>16000</v>
      </c>
      <c r="AY71" s="43" t="s">
        <v>100</v>
      </c>
      <c r="AZ71" s="43" t="s">
        <v>270</v>
      </c>
      <c r="BA71" s="32" t="s">
        <v>94</v>
      </c>
      <c r="BB71" s="32">
        <v>500</v>
      </c>
      <c r="BC71" s="44" t="s">
        <v>102</v>
      </c>
      <c r="BD71" s="33" t="s">
        <v>103</v>
      </c>
      <c r="BE71" s="271" t="s">
        <v>104</v>
      </c>
      <c r="BF71" s="271" t="s">
        <v>105</v>
      </c>
      <c r="BG71" s="269">
        <v>0</v>
      </c>
      <c r="BH71" s="42">
        <v>33000</v>
      </c>
      <c r="BI71" s="47" t="s">
        <v>100</v>
      </c>
      <c r="BJ71" s="32" t="s">
        <v>101</v>
      </c>
      <c r="BK71" s="32" t="s">
        <v>100</v>
      </c>
      <c r="BL71" s="26" t="s">
        <v>106</v>
      </c>
      <c r="BM71" s="26" t="s">
        <v>107</v>
      </c>
      <c r="BN71" s="209">
        <v>0</v>
      </c>
      <c r="BO71" s="26" t="s">
        <v>108</v>
      </c>
      <c r="BP71" s="34" t="s">
        <v>109</v>
      </c>
      <c r="BQ71" s="209">
        <v>4000</v>
      </c>
      <c r="BR71" s="26" t="s">
        <v>108</v>
      </c>
      <c r="BS71" s="34" t="s">
        <v>110</v>
      </c>
      <c r="BT71" s="209">
        <v>5500</v>
      </c>
      <c r="BU71" s="211">
        <v>11000</v>
      </c>
      <c r="BV71" s="212" t="s">
        <v>100</v>
      </c>
      <c r="BW71" s="212" t="s">
        <v>286</v>
      </c>
      <c r="BX71" s="213" t="s">
        <v>100</v>
      </c>
      <c r="BY71" s="213" t="s">
        <v>100</v>
      </c>
      <c r="BZ71" s="45">
        <v>2000</v>
      </c>
    </row>
    <row r="72" spans="3:78" ht="25.5">
      <c r="C72" s="1"/>
      <c r="D72" s="296"/>
      <c r="E72" s="305"/>
      <c r="F72" s="308"/>
      <c r="G72" s="74">
        <v>1750</v>
      </c>
      <c r="H72" s="62">
        <v>1400</v>
      </c>
      <c r="I72" s="62">
        <v>10000</v>
      </c>
      <c r="J72" s="62">
        <v>10000</v>
      </c>
      <c r="K72" s="62">
        <v>50</v>
      </c>
      <c r="L72" s="62">
        <v>103</v>
      </c>
      <c r="M72" s="101" t="s">
        <v>255</v>
      </c>
      <c r="N72" s="63">
        <v>364392</v>
      </c>
      <c r="O72" s="62" t="s">
        <v>89</v>
      </c>
      <c r="P72" s="62">
        <v>8</v>
      </c>
      <c r="Q72" s="64" t="s">
        <v>90</v>
      </c>
      <c r="R72" s="64" t="s">
        <v>91</v>
      </c>
      <c r="S72" s="64" t="s">
        <v>91</v>
      </c>
      <c r="T72" s="65" t="s">
        <v>92</v>
      </c>
      <c r="U72" s="65" t="s">
        <v>93</v>
      </c>
      <c r="V72" s="62" t="s">
        <v>94</v>
      </c>
      <c r="W72" s="62">
        <v>31</v>
      </c>
      <c r="X72" s="66" t="s">
        <v>95</v>
      </c>
      <c r="Y72" s="66" t="s">
        <v>96</v>
      </c>
      <c r="Z72" s="102">
        <v>21000</v>
      </c>
      <c r="AA72" s="101" t="s">
        <v>189</v>
      </c>
      <c r="AB72" s="102">
        <v>7400</v>
      </c>
      <c r="AC72" s="62" t="s">
        <v>97</v>
      </c>
      <c r="AD72" s="75" t="s">
        <v>97</v>
      </c>
      <c r="AE72" s="35"/>
      <c r="AF72" s="37">
        <v>326417</v>
      </c>
      <c r="AG72" s="29" t="s">
        <v>98</v>
      </c>
      <c r="AH72" s="226">
        <v>29151</v>
      </c>
      <c r="AI72" s="48" t="s">
        <v>318</v>
      </c>
      <c r="AJ72" s="39">
        <v>21000</v>
      </c>
      <c r="AK72" s="39" t="s">
        <v>189</v>
      </c>
      <c r="AL72" s="39">
        <v>7460</v>
      </c>
      <c r="AM72" s="30" t="s">
        <v>99</v>
      </c>
      <c r="AN72" s="40">
        <v>65566</v>
      </c>
      <c r="AO72" s="41" t="s">
        <v>303</v>
      </c>
      <c r="AP72" s="41" t="s">
        <v>306</v>
      </c>
      <c r="AQ72" s="27">
        <v>3000</v>
      </c>
      <c r="AR72" s="27" t="s">
        <v>94</v>
      </c>
      <c r="AS72" s="27">
        <v>900</v>
      </c>
      <c r="AT72" s="29">
        <v>41</v>
      </c>
      <c r="AU72" s="29" t="s">
        <v>100</v>
      </c>
      <c r="AV72" s="31">
        <v>42</v>
      </c>
      <c r="AW72" s="31" t="s">
        <v>100</v>
      </c>
      <c r="AX72" s="42">
        <v>16000</v>
      </c>
      <c r="AY72" s="43" t="s">
        <v>100</v>
      </c>
      <c r="AZ72" s="43" t="s">
        <v>270</v>
      </c>
      <c r="BA72" s="32" t="s">
        <v>94</v>
      </c>
      <c r="BB72" s="32">
        <v>500</v>
      </c>
      <c r="BC72" s="44" t="s">
        <v>102</v>
      </c>
      <c r="BD72" s="33" t="s">
        <v>103</v>
      </c>
      <c r="BE72" s="271" t="s">
        <v>104</v>
      </c>
      <c r="BF72" s="271" t="s">
        <v>105</v>
      </c>
      <c r="BG72" s="269">
        <v>0</v>
      </c>
      <c r="BH72" s="42">
        <v>33000</v>
      </c>
      <c r="BI72" s="47" t="s">
        <v>100</v>
      </c>
      <c r="BJ72" s="32" t="s">
        <v>101</v>
      </c>
      <c r="BK72" s="32" t="s">
        <v>100</v>
      </c>
      <c r="BL72" s="26" t="s">
        <v>106</v>
      </c>
      <c r="BM72" s="26" t="s">
        <v>107</v>
      </c>
      <c r="BN72" s="209">
        <v>0</v>
      </c>
      <c r="BO72" s="26" t="s">
        <v>108</v>
      </c>
      <c r="BP72" s="34" t="s">
        <v>109</v>
      </c>
      <c r="BQ72" s="209">
        <v>4000</v>
      </c>
      <c r="BR72" s="26" t="s">
        <v>108</v>
      </c>
      <c r="BS72" s="34" t="s">
        <v>110</v>
      </c>
      <c r="BT72" s="209">
        <v>5500</v>
      </c>
      <c r="BU72" s="211">
        <v>11000</v>
      </c>
      <c r="BV72" s="212" t="s">
        <v>100</v>
      </c>
      <c r="BW72" s="212" t="s">
        <v>286</v>
      </c>
      <c r="BX72" s="213" t="s">
        <v>100</v>
      </c>
      <c r="BY72" s="213" t="s">
        <v>100</v>
      </c>
      <c r="BZ72" s="45">
        <v>2000</v>
      </c>
    </row>
    <row r="73" spans="3:78" ht="26.25" thickBot="1">
      <c r="C73" s="1"/>
      <c r="D73" s="296"/>
      <c r="E73" s="305"/>
      <c r="F73" s="308"/>
      <c r="G73" s="76">
        <v>2000</v>
      </c>
      <c r="H73" s="77">
        <v>1600</v>
      </c>
      <c r="I73" s="77">
        <v>10000</v>
      </c>
      <c r="J73" s="77">
        <v>10000</v>
      </c>
      <c r="K73" s="77">
        <v>50</v>
      </c>
      <c r="L73" s="77">
        <v>115</v>
      </c>
      <c r="M73" s="136" t="s">
        <v>255</v>
      </c>
      <c r="N73" s="78">
        <v>383268</v>
      </c>
      <c r="O73" s="77" t="s">
        <v>89</v>
      </c>
      <c r="P73" s="77">
        <v>8</v>
      </c>
      <c r="Q73" s="79" t="s">
        <v>90</v>
      </c>
      <c r="R73" s="79" t="s">
        <v>91</v>
      </c>
      <c r="S73" s="79" t="s">
        <v>91</v>
      </c>
      <c r="T73" s="80" t="s">
        <v>92</v>
      </c>
      <c r="U73" s="80" t="s">
        <v>93</v>
      </c>
      <c r="V73" s="77" t="s">
        <v>94</v>
      </c>
      <c r="W73" s="77">
        <v>31</v>
      </c>
      <c r="X73" s="81" t="s">
        <v>95</v>
      </c>
      <c r="Y73" s="81" t="s">
        <v>96</v>
      </c>
      <c r="Z73" s="170">
        <v>21000</v>
      </c>
      <c r="AA73" s="136" t="s">
        <v>189</v>
      </c>
      <c r="AB73" s="170">
        <v>7400</v>
      </c>
      <c r="AC73" s="77" t="s">
        <v>97</v>
      </c>
      <c r="AD73" s="82" t="s">
        <v>97</v>
      </c>
      <c r="AE73" s="35"/>
      <c r="AF73" s="37">
        <v>343628</v>
      </c>
      <c r="AG73" s="29" t="s">
        <v>98</v>
      </c>
      <c r="AH73" s="218">
        <v>30661</v>
      </c>
      <c r="AI73" s="219" t="s">
        <v>318</v>
      </c>
      <c r="AJ73" s="220">
        <v>21000</v>
      </c>
      <c r="AK73" s="220" t="s">
        <v>189</v>
      </c>
      <c r="AL73" s="220">
        <v>7460</v>
      </c>
      <c r="AM73" s="221" t="s">
        <v>99</v>
      </c>
      <c r="AN73" s="40">
        <v>72591</v>
      </c>
      <c r="AO73" s="41" t="s">
        <v>303</v>
      </c>
      <c r="AP73" s="41" t="s">
        <v>306</v>
      </c>
      <c r="AQ73" s="27">
        <v>3000</v>
      </c>
      <c r="AR73" s="27" t="s">
        <v>94</v>
      </c>
      <c r="AS73" s="27">
        <v>900</v>
      </c>
      <c r="AT73" s="29">
        <v>41</v>
      </c>
      <c r="AU73" s="29" t="s">
        <v>100</v>
      </c>
      <c r="AV73" s="31">
        <v>42</v>
      </c>
      <c r="AW73" s="31" t="s">
        <v>100</v>
      </c>
      <c r="AX73" s="42">
        <v>16000</v>
      </c>
      <c r="AY73" s="43" t="s">
        <v>100</v>
      </c>
      <c r="AZ73" s="43" t="s">
        <v>270</v>
      </c>
      <c r="BA73" s="32" t="s">
        <v>94</v>
      </c>
      <c r="BB73" s="32">
        <v>500</v>
      </c>
      <c r="BC73" s="44" t="s">
        <v>102</v>
      </c>
      <c r="BD73" s="33" t="s">
        <v>103</v>
      </c>
      <c r="BE73" s="271" t="s">
        <v>104</v>
      </c>
      <c r="BF73" s="271" t="s">
        <v>105</v>
      </c>
      <c r="BG73" s="269">
        <v>0</v>
      </c>
      <c r="BH73" s="42">
        <v>35000</v>
      </c>
      <c r="BI73" s="47" t="s">
        <v>100</v>
      </c>
      <c r="BJ73" s="32" t="s">
        <v>101</v>
      </c>
      <c r="BK73" s="32" t="s">
        <v>100</v>
      </c>
      <c r="BL73" s="26" t="s">
        <v>106</v>
      </c>
      <c r="BM73" s="26" t="s">
        <v>107</v>
      </c>
      <c r="BN73" s="209">
        <v>0</v>
      </c>
      <c r="BO73" s="26" t="s">
        <v>108</v>
      </c>
      <c r="BP73" s="34" t="s">
        <v>109</v>
      </c>
      <c r="BQ73" s="209">
        <v>4000</v>
      </c>
      <c r="BR73" s="26" t="s">
        <v>108</v>
      </c>
      <c r="BS73" s="34" t="s">
        <v>110</v>
      </c>
      <c r="BT73" s="209">
        <v>5500</v>
      </c>
      <c r="BU73" s="211">
        <v>11000</v>
      </c>
      <c r="BV73" s="212" t="s">
        <v>100</v>
      </c>
      <c r="BW73" s="212" t="s">
        <v>286</v>
      </c>
      <c r="BX73" s="213" t="s">
        <v>100</v>
      </c>
      <c r="BY73" s="213" t="s">
        <v>100</v>
      </c>
      <c r="BZ73" s="45">
        <v>2000</v>
      </c>
    </row>
    <row r="74" spans="3:78" ht="26.25" thickBot="1">
      <c r="C74" s="1"/>
      <c r="D74" s="296"/>
      <c r="E74" s="305"/>
      <c r="F74" s="308"/>
      <c r="G74" s="162">
        <v>2500</v>
      </c>
      <c r="H74" s="163">
        <v>2000</v>
      </c>
      <c r="I74" s="163">
        <v>10000</v>
      </c>
      <c r="J74" s="163">
        <v>10000</v>
      </c>
      <c r="K74" s="163">
        <v>50</v>
      </c>
      <c r="L74" s="163">
        <v>145</v>
      </c>
      <c r="M74" s="169" t="s">
        <v>256</v>
      </c>
      <c r="N74" s="164">
        <v>421186</v>
      </c>
      <c r="O74" s="163" t="s">
        <v>89</v>
      </c>
      <c r="P74" s="163">
        <v>8</v>
      </c>
      <c r="Q74" s="165" t="s">
        <v>90</v>
      </c>
      <c r="R74" s="165" t="s">
        <v>91</v>
      </c>
      <c r="S74" s="165" t="s">
        <v>91</v>
      </c>
      <c r="T74" s="166" t="s">
        <v>92</v>
      </c>
      <c r="U74" s="166" t="s">
        <v>93</v>
      </c>
      <c r="V74" s="163" t="s">
        <v>94</v>
      </c>
      <c r="W74" s="163">
        <v>31</v>
      </c>
      <c r="X74" s="167" t="s">
        <v>95</v>
      </c>
      <c r="Y74" s="167" t="s">
        <v>96</v>
      </c>
      <c r="Z74" s="168">
        <v>24000</v>
      </c>
      <c r="AA74" s="169" t="s">
        <v>190</v>
      </c>
      <c r="AB74" s="168">
        <v>7700</v>
      </c>
      <c r="AC74" s="163" t="s">
        <v>97</v>
      </c>
      <c r="AD74" s="171" t="s">
        <v>97</v>
      </c>
      <c r="AE74" s="35"/>
      <c r="AF74" s="37">
        <v>389106</v>
      </c>
      <c r="AG74" s="29" t="s">
        <v>98</v>
      </c>
      <c r="AH74" s="228">
        <v>33695</v>
      </c>
      <c r="AI74" s="229" t="s">
        <v>319</v>
      </c>
      <c r="AJ74" s="230">
        <v>21000</v>
      </c>
      <c r="AK74" s="230" t="s">
        <v>185</v>
      </c>
      <c r="AL74" s="230">
        <v>8880</v>
      </c>
      <c r="AM74" s="231" t="s">
        <v>99</v>
      </c>
      <c r="AN74" s="235">
        <v>72591</v>
      </c>
      <c r="AO74" s="236" t="s">
        <v>303</v>
      </c>
      <c r="AP74" s="236" t="s">
        <v>306</v>
      </c>
      <c r="AQ74" s="237">
        <v>3000</v>
      </c>
      <c r="AR74" s="237" t="s">
        <v>94</v>
      </c>
      <c r="AS74" s="237">
        <v>900</v>
      </c>
      <c r="AT74" s="29">
        <v>41</v>
      </c>
      <c r="AU74" s="29" t="s">
        <v>100</v>
      </c>
      <c r="AV74" s="31">
        <v>42</v>
      </c>
      <c r="AW74" s="31" t="s">
        <v>100</v>
      </c>
      <c r="AX74" s="42">
        <v>16000</v>
      </c>
      <c r="AY74" s="43" t="s">
        <v>100</v>
      </c>
      <c r="AZ74" s="43" t="s">
        <v>270</v>
      </c>
      <c r="BA74" s="32" t="s">
        <v>94</v>
      </c>
      <c r="BB74" s="32">
        <v>500</v>
      </c>
      <c r="BC74" s="44" t="s">
        <v>102</v>
      </c>
      <c r="BD74" s="33" t="s">
        <v>103</v>
      </c>
      <c r="BE74" s="271" t="s">
        <v>104</v>
      </c>
      <c r="BF74" s="271" t="s">
        <v>105</v>
      </c>
      <c r="BG74" s="269">
        <v>0</v>
      </c>
      <c r="BH74" s="42">
        <v>35000</v>
      </c>
      <c r="BI74" s="47" t="s">
        <v>100</v>
      </c>
      <c r="BJ74" s="32" t="s">
        <v>101</v>
      </c>
      <c r="BK74" s="32" t="s">
        <v>100</v>
      </c>
      <c r="BL74" s="26" t="s">
        <v>106</v>
      </c>
      <c r="BM74" s="26" t="s">
        <v>107</v>
      </c>
      <c r="BN74" s="209">
        <v>0</v>
      </c>
      <c r="BO74" s="26" t="s">
        <v>108</v>
      </c>
      <c r="BP74" s="34" t="s">
        <v>109</v>
      </c>
      <c r="BQ74" s="209">
        <v>4000</v>
      </c>
      <c r="BR74" s="26" t="s">
        <v>108</v>
      </c>
      <c r="BS74" s="34" t="s">
        <v>110</v>
      </c>
      <c r="BT74" s="209">
        <v>5500</v>
      </c>
      <c r="BU74" s="211">
        <v>11000</v>
      </c>
      <c r="BV74" s="212" t="s">
        <v>100</v>
      </c>
      <c r="BW74" s="212" t="s">
        <v>286</v>
      </c>
      <c r="BX74" s="213" t="s">
        <v>100</v>
      </c>
      <c r="BY74" s="213" t="s">
        <v>100</v>
      </c>
      <c r="BZ74" s="45">
        <v>2000</v>
      </c>
    </row>
    <row r="75" spans="3:78" ht="26.25" thickBot="1">
      <c r="C75" s="1"/>
      <c r="D75" s="296"/>
      <c r="E75" s="305"/>
      <c r="F75" s="308"/>
      <c r="G75" s="149">
        <v>3125</v>
      </c>
      <c r="H75" s="150">
        <v>2500</v>
      </c>
      <c r="I75" s="150">
        <v>10000</v>
      </c>
      <c r="J75" s="150">
        <v>10000</v>
      </c>
      <c r="K75" s="150">
        <v>50</v>
      </c>
      <c r="L75" s="150">
        <v>180</v>
      </c>
      <c r="M75" s="157" t="s">
        <v>257</v>
      </c>
      <c r="N75" s="152">
        <v>515940</v>
      </c>
      <c r="O75" s="150" t="s">
        <v>89</v>
      </c>
      <c r="P75" s="150">
        <v>8</v>
      </c>
      <c r="Q75" s="153" t="s">
        <v>90</v>
      </c>
      <c r="R75" s="153" t="s">
        <v>91</v>
      </c>
      <c r="S75" s="153" t="s">
        <v>91</v>
      </c>
      <c r="T75" s="154" t="s">
        <v>92</v>
      </c>
      <c r="U75" s="154" t="s">
        <v>93</v>
      </c>
      <c r="V75" s="150" t="s">
        <v>94</v>
      </c>
      <c r="W75" s="150">
        <v>31</v>
      </c>
      <c r="X75" s="155" t="s">
        <v>95</v>
      </c>
      <c r="Y75" s="155" t="s">
        <v>96</v>
      </c>
      <c r="Z75" s="156">
        <v>25000</v>
      </c>
      <c r="AA75" s="157" t="s">
        <v>191</v>
      </c>
      <c r="AB75" s="156">
        <v>9830</v>
      </c>
      <c r="AC75" s="150" t="s">
        <v>97</v>
      </c>
      <c r="AD75" s="158" t="s">
        <v>97</v>
      </c>
      <c r="AE75" s="35"/>
      <c r="AF75" s="37">
        <v>470541</v>
      </c>
      <c r="AG75" s="29" t="s">
        <v>98</v>
      </c>
      <c r="AH75" s="228">
        <v>41275</v>
      </c>
      <c r="AI75" s="229" t="s">
        <v>320</v>
      </c>
      <c r="AJ75" s="230">
        <v>28000</v>
      </c>
      <c r="AK75" s="230" t="s">
        <v>193</v>
      </c>
      <c r="AL75" s="230">
        <v>10400</v>
      </c>
      <c r="AM75" s="231" t="s">
        <v>99</v>
      </c>
      <c r="AN75" s="232">
        <v>72591</v>
      </c>
      <c r="AO75" s="233" t="s">
        <v>304</v>
      </c>
      <c r="AP75" s="233" t="s">
        <v>307</v>
      </c>
      <c r="AQ75" s="234">
        <v>3000</v>
      </c>
      <c r="AR75" s="234" t="s">
        <v>94</v>
      </c>
      <c r="AS75" s="234">
        <v>1500</v>
      </c>
      <c r="AT75" s="29">
        <v>41</v>
      </c>
      <c r="AU75" s="29" t="s">
        <v>100</v>
      </c>
      <c r="AV75" s="31">
        <v>42</v>
      </c>
      <c r="AW75" s="31" t="s">
        <v>100</v>
      </c>
      <c r="AX75" s="42">
        <v>16000</v>
      </c>
      <c r="AY75" s="43" t="s">
        <v>100</v>
      </c>
      <c r="AZ75" s="43" t="s">
        <v>270</v>
      </c>
      <c r="BA75" s="32" t="s">
        <v>94</v>
      </c>
      <c r="BB75" s="32">
        <v>500</v>
      </c>
      <c r="BC75" s="44" t="s">
        <v>102</v>
      </c>
      <c r="BD75" s="33" t="s">
        <v>103</v>
      </c>
      <c r="BE75" s="271" t="s">
        <v>104</v>
      </c>
      <c r="BF75" s="271" t="s">
        <v>105</v>
      </c>
      <c r="BG75" s="269">
        <v>0</v>
      </c>
      <c r="BH75" s="42">
        <v>35000</v>
      </c>
      <c r="BI75" s="47" t="s">
        <v>100</v>
      </c>
      <c r="BJ75" s="32" t="s">
        <v>101</v>
      </c>
      <c r="BK75" s="32" t="s">
        <v>100</v>
      </c>
      <c r="BL75" s="26" t="s">
        <v>106</v>
      </c>
      <c r="BM75" s="26" t="s">
        <v>107</v>
      </c>
      <c r="BN75" s="209">
        <v>0</v>
      </c>
      <c r="BO75" s="26" t="s">
        <v>108</v>
      </c>
      <c r="BP75" s="34" t="s">
        <v>109</v>
      </c>
      <c r="BQ75" s="209">
        <v>4000</v>
      </c>
      <c r="BR75" s="26" t="s">
        <v>108</v>
      </c>
      <c r="BS75" s="34" t="s">
        <v>110</v>
      </c>
      <c r="BT75" s="209">
        <v>5500</v>
      </c>
      <c r="BU75" s="211">
        <v>11000</v>
      </c>
      <c r="BV75" s="212" t="s">
        <v>100</v>
      </c>
      <c r="BW75" s="212" t="s">
        <v>286</v>
      </c>
      <c r="BX75" s="213" t="s">
        <v>100</v>
      </c>
      <c r="BY75" s="213" t="s">
        <v>100</v>
      </c>
      <c r="BZ75" s="45">
        <v>2000</v>
      </c>
    </row>
    <row r="76" spans="3:78" ht="26.25" thickBot="1">
      <c r="C76" s="1"/>
      <c r="D76" s="296"/>
      <c r="E76" s="305"/>
      <c r="F76" s="308"/>
      <c r="G76" s="149">
        <v>3940</v>
      </c>
      <c r="H76" s="150">
        <v>3150</v>
      </c>
      <c r="I76" s="150">
        <v>10000</v>
      </c>
      <c r="J76" s="150">
        <v>10000</v>
      </c>
      <c r="K76" s="150">
        <v>50</v>
      </c>
      <c r="L76" s="150">
        <v>230</v>
      </c>
      <c r="M76" s="151" t="s">
        <v>258</v>
      </c>
      <c r="N76" s="152">
        <v>647033</v>
      </c>
      <c r="O76" s="150" t="s">
        <v>89</v>
      </c>
      <c r="P76" s="150">
        <v>8</v>
      </c>
      <c r="Q76" s="153" t="s">
        <v>90</v>
      </c>
      <c r="R76" s="153" t="s">
        <v>91</v>
      </c>
      <c r="S76" s="153" t="s">
        <v>91</v>
      </c>
      <c r="T76" s="154" t="s">
        <v>92</v>
      </c>
      <c r="U76" s="154" t="s">
        <v>93</v>
      </c>
      <c r="V76" s="150" t="s">
        <v>94</v>
      </c>
      <c r="W76" s="150">
        <v>31</v>
      </c>
      <c r="X76" s="155" t="s">
        <v>95</v>
      </c>
      <c r="Y76" s="155" t="s">
        <v>96</v>
      </c>
      <c r="Z76" s="159">
        <v>39000</v>
      </c>
      <c r="AA76" s="151" t="s">
        <v>277</v>
      </c>
      <c r="AB76" s="159">
        <v>12369</v>
      </c>
      <c r="AC76" s="150" t="s">
        <v>97</v>
      </c>
      <c r="AD76" s="158" t="s">
        <v>97</v>
      </c>
      <c r="AE76" s="35"/>
      <c r="AF76" s="37">
        <v>590505</v>
      </c>
      <c r="AG76" s="29" t="s">
        <v>98</v>
      </c>
      <c r="AH76" s="228">
        <v>51763</v>
      </c>
      <c r="AI76" s="229" t="s">
        <v>321</v>
      </c>
      <c r="AJ76" s="230">
        <v>39000</v>
      </c>
      <c r="AK76" s="230" t="s">
        <v>277</v>
      </c>
      <c r="AL76" s="230">
        <v>12519</v>
      </c>
      <c r="AM76" s="231" t="s">
        <v>99</v>
      </c>
      <c r="AN76" s="252">
        <v>87115</v>
      </c>
      <c r="AO76" s="253" t="s">
        <v>304</v>
      </c>
      <c r="AP76" s="253" t="s">
        <v>307</v>
      </c>
      <c r="AQ76" s="254">
        <v>3000</v>
      </c>
      <c r="AR76" s="254" t="s">
        <v>94</v>
      </c>
      <c r="AS76" s="254">
        <v>1500</v>
      </c>
      <c r="AT76" s="29">
        <v>41</v>
      </c>
      <c r="AU76" s="29" t="s">
        <v>100</v>
      </c>
      <c r="AV76" s="31">
        <v>42</v>
      </c>
      <c r="AW76" s="31" t="s">
        <v>100</v>
      </c>
      <c r="AX76" s="42">
        <v>16000</v>
      </c>
      <c r="AY76" s="43" t="s">
        <v>100</v>
      </c>
      <c r="AZ76" s="43" t="s">
        <v>270</v>
      </c>
      <c r="BA76" s="32" t="s">
        <v>94</v>
      </c>
      <c r="BB76" s="32">
        <v>500</v>
      </c>
      <c r="BC76" s="44" t="s">
        <v>102</v>
      </c>
      <c r="BD76" s="33" t="s">
        <v>103</v>
      </c>
      <c r="BE76" s="271" t="s">
        <v>104</v>
      </c>
      <c r="BF76" s="271" t="s">
        <v>105</v>
      </c>
      <c r="BG76" s="269">
        <v>0</v>
      </c>
      <c r="BH76" s="42">
        <v>36500</v>
      </c>
      <c r="BI76" s="47" t="s">
        <v>100</v>
      </c>
      <c r="BJ76" s="32" t="s">
        <v>101</v>
      </c>
      <c r="BK76" s="32" t="s">
        <v>100</v>
      </c>
      <c r="BL76" s="26" t="s">
        <v>106</v>
      </c>
      <c r="BM76" s="26" t="s">
        <v>107</v>
      </c>
      <c r="BN76" s="209">
        <v>0</v>
      </c>
      <c r="BO76" s="26" t="s">
        <v>108</v>
      </c>
      <c r="BP76" s="34" t="s">
        <v>109</v>
      </c>
      <c r="BQ76" s="209">
        <v>4000</v>
      </c>
      <c r="BR76" s="26" t="s">
        <v>108</v>
      </c>
      <c r="BS76" s="34" t="s">
        <v>110</v>
      </c>
      <c r="BT76" s="209">
        <v>5500</v>
      </c>
      <c r="BU76" s="211">
        <v>11000</v>
      </c>
      <c r="BV76" s="212" t="s">
        <v>100</v>
      </c>
      <c r="BW76" s="212" t="s">
        <v>286</v>
      </c>
      <c r="BX76" s="213" t="s">
        <v>100</v>
      </c>
      <c r="BY76" s="213" t="s">
        <v>100</v>
      </c>
      <c r="BZ76" s="45">
        <v>2000</v>
      </c>
    </row>
    <row r="77" spans="3:78" ht="26.25" thickBot="1">
      <c r="C77" s="1"/>
      <c r="D77" s="296"/>
      <c r="E77" s="305"/>
      <c r="F77" s="308"/>
      <c r="G77" s="149">
        <v>5000</v>
      </c>
      <c r="H77" s="150">
        <v>4000</v>
      </c>
      <c r="I77" s="150">
        <v>10000</v>
      </c>
      <c r="J77" s="150">
        <v>10000</v>
      </c>
      <c r="K77" s="150">
        <v>50</v>
      </c>
      <c r="L77" s="150">
        <v>280</v>
      </c>
      <c r="M77" s="157" t="s">
        <v>259</v>
      </c>
      <c r="N77" s="152">
        <v>719989</v>
      </c>
      <c r="O77" s="150" t="s">
        <v>89</v>
      </c>
      <c r="P77" s="150">
        <v>8</v>
      </c>
      <c r="Q77" s="153" t="s">
        <v>90</v>
      </c>
      <c r="R77" s="153" t="s">
        <v>91</v>
      </c>
      <c r="S77" s="153" t="s">
        <v>91</v>
      </c>
      <c r="T77" s="154" t="s">
        <v>92</v>
      </c>
      <c r="U77" s="154" t="s">
        <v>93</v>
      </c>
      <c r="V77" s="150" t="s">
        <v>94</v>
      </c>
      <c r="W77" s="150">
        <v>31</v>
      </c>
      <c r="X77" s="155" t="s">
        <v>95</v>
      </c>
      <c r="Y77" s="155" t="s">
        <v>96</v>
      </c>
      <c r="Z77" s="156">
        <v>43000</v>
      </c>
      <c r="AA77" s="157" t="s">
        <v>277</v>
      </c>
      <c r="AB77" s="156">
        <v>12369</v>
      </c>
      <c r="AC77" s="150" t="s">
        <v>97</v>
      </c>
      <c r="AD77" s="158" t="s">
        <v>97</v>
      </c>
      <c r="AE77" s="35"/>
      <c r="AF77" s="37">
        <v>642567</v>
      </c>
      <c r="AG77" s="29" t="s">
        <v>98</v>
      </c>
      <c r="AH77" s="247">
        <v>57599</v>
      </c>
      <c r="AI77" s="241" t="s">
        <v>322</v>
      </c>
      <c r="AJ77" s="217">
        <v>43000</v>
      </c>
      <c r="AK77" s="217" t="s">
        <v>277</v>
      </c>
      <c r="AL77" s="217">
        <v>12519</v>
      </c>
      <c r="AM77" s="242" t="s">
        <v>99</v>
      </c>
      <c r="AN77" s="257">
        <v>102818</v>
      </c>
      <c r="AO77" s="258" t="s">
        <v>304</v>
      </c>
      <c r="AP77" s="258" t="s">
        <v>307</v>
      </c>
      <c r="AQ77" s="65">
        <v>3000</v>
      </c>
      <c r="AR77" s="65" t="s">
        <v>94</v>
      </c>
      <c r="AS77" s="65">
        <v>1500</v>
      </c>
      <c r="AT77" s="251">
        <v>41</v>
      </c>
      <c r="AU77" s="29" t="s">
        <v>100</v>
      </c>
      <c r="AV77" s="31">
        <v>42</v>
      </c>
      <c r="AW77" s="31" t="s">
        <v>100</v>
      </c>
      <c r="AX77" s="42">
        <v>16000</v>
      </c>
      <c r="AY77" s="43" t="s">
        <v>100</v>
      </c>
      <c r="AZ77" s="43" t="s">
        <v>270</v>
      </c>
      <c r="BA77" s="32" t="s">
        <v>94</v>
      </c>
      <c r="BB77" s="32">
        <v>500</v>
      </c>
      <c r="BC77" s="44" t="s">
        <v>102</v>
      </c>
      <c r="BD77" s="33" t="s">
        <v>103</v>
      </c>
      <c r="BE77" s="271" t="s">
        <v>104</v>
      </c>
      <c r="BF77" s="271" t="s">
        <v>105</v>
      </c>
      <c r="BG77" s="269">
        <v>0</v>
      </c>
      <c r="BH77" s="42">
        <v>36500</v>
      </c>
      <c r="BI77" s="47" t="s">
        <v>100</v>
      </c>
      <c r="BJ77" s="32" t="s">
        <v>101</v>
      </c>
      <c r="BK77" s="32" t="s">
        <v>100</v>
      </c>
      <c r="BL77" s="26" t="s">
        <v>106</v>
      </c>
      <c r="BM77" s="26" t="s">
        <v>107</v>
      </c>
      <c r="BN77" s="209">
        <v>0</v>
      </c>
      <c r="BO77" s="26" t="s">
        <v>108</v>
      </c>
      <c r="BP77" s="34" t="s">
        <v>109</v>
      </c>
      <c r="BQ77" s="209">
        <v>4000</v>
      </c>
      <c r="BR77" s="26" t="s">
        <v>108</v>
      </c>
      <c r="BS77" s="34" t="s">
        <v>110</v>
      </c>
      <c r="BT77" s="209">
        <v>5500</v>
      </c>
      <c r="BU77" s="211">
        <v>11000</v>
      </c>
      <c r="BV77" s="212" t="s">
        <v>100</v>
      </c>
      <c r="BW77" s="212" t="s">
        <v>286</v>
      </c>
      <c r="BX77" s="213" t="s">
        <v>100</v>
      </c>
      <c r="BY77" s="213" t="s">
        <v>100</v>
      </c>
      <c r="BZ77" s="45">
        <v>2000</v>
      </c>
    </row>
    <row r="78" spans="3:78" ht="26.25" thickBot="1">
      <c r="C78" s="1"/>
      <c r="D78" s="296"/>
      <c r="E78" s="305"/>
      <c r="F78" s="308"/>
      <c r="G78" s="149">
        <v>6250</v>
      </c>
      <c r="H78" s="150">
        <v>5000</v>
      </c>
      <c r="I78" s="150">
        <v>10000</v>
      </c>
      <c r="J78" s="150">
        <v>10000</v>
      </c>
      <c r="K78" s="150">
        <v>50</v>
      </c>
      <c r="L78" s="150">
        <v>360</v>
      </c>
      <c r="M78" s="151" t="s">
        <v>260</v>
      </c>
      <c r="N78" s="152">
        <v>920000</v>
      </c>
      <c r="O78" s="150" t="s">
        <v>89</v>
      </c>
      <c r="P78" s="150">
        <v>8</v>
      </c>
      <c r="Q78" s="153" t="s">
        <v>90</v>
      </c>
      <c r="R78" s="153" t="s">
        <v>91</v>
      </c>
      <c r="S78" s="153" t="s">
        <v>91</v>
      </c>
      <c r="T78" s="154" t="s">
        <v>92</v>
      </c>
      <c r="U78" s="154" t="s">
        <v>93</v>
      </c>
      <c r="V78" s="150" t="s">
        <v>99</v>
      </c>
      <c r="W78" s="150">
        <v>31</v>
      </c>
      <c r="X78" s="155" t="s">
        <v>95</v>
      </c>
      <c r="Y78" s="155" t="s">
        <v>96</v>
      </c>
      <c r="Z78" s="159">
        <v>39000</v>
      </c>
      <c r="AA78" s="151" t="s">
        <v>192</v>
      </c>
      <c r="AB78" s="159">
        <v>18600</v>
      </c>
      <c r="AC78" s="160" t="s">
        <v>145</v>
      </c>
      <c r="AD78" s="161" t="s">
        <v>146</v>
      </c>
      <c r="AE78" s="35"/>
      <c r="AF78" s="37">
        <v>815800</v>
      </c>
      <c r="AG78" s="29" t="s">
        <v>98</v>
      </c>
      <c r="AH78" s="218">
        <v>73600</v>
      </c>
      <c r="AI78" s="219" t="s">
        <v>323</v>
      </c>
      <c r="AJ78" s="220">
        <v>39000</v>
      </c>
      <c r="AK78" s="220" t="s">
        <v>192</v>
      </c>
      <c r="AL78" s="220">
        <v>18775</v>
      </c>
      <c r="AM78" s="221" t="s">
        <v>99</v>
      </c>
      <c r="AN78" s="255">
        <v>102818</v>
      </c>
      <c r="AO78" s="256" t="s">
        <v>304</v>
      </c>
      <c r="AP78" s="256" t="s">
        <v>307</v>
      </c>
      <c r="AQ78" s="142">
        <v>3000</v>
      </c>
      <c r="AR78" s="142" t="s">
        <v>94</v>
      </c>
      <c r="AS78" s="142">
        <v>1500</v>
      </c>
      <c r="AT78" s="29">
        <v>41</v>
      </c>
      <c r="AU78" s="29" t="s">
        <v>100</v>
      </c>
      <c r="AV78" s="31">
        <v>42</v>
      </c>
      <c r="AW78" s="31" t="s">
        <v>100</v>
      </c>
      <c r="AX78" s="347" t="s">
        <v>271</v>
      </c>
      <c r="AY78" s="348"/>
      <c r="AZ78" s="348"/>
      <c r="BA78" s="348"/>
      <c r="BB78" s="349"/>
      <c r="BC78" s="44" t="s">
        <v>102</v>
      </c>
      <c r="BD78" s="33" t="s">
        <v>103</v>
      </c>
      <c r="BE78" s="271" t="s">
        <v>104</v>
      </c>
      <c r="BF78" s="271" t="s">
        <v>105</v>
      </c>
      <c r="BG78" s="269">
        <v>0</v>
      </c>
      <c r="BH78" s="42">
        <v>49600</v>
      </c>
      <c r="BI78" s="47" t="s">
        <v>100</v>
      </c>
      <c r="BJ78" s="32" t="s">
        <v>101</v>
      </c>
      <c r="BK78" s="32" t="s">
        <v>100</v>
      </c>
      <c r="BL78" s="26" t="s">
        <v>106</v>
      </c>
      <c r="BM78" s="26" t="s">
        <v>107</v>
      </c>
      <c r="BN78" s="209">
        <v>0</v>
      </c>
      <c r="BO78" s="26" t="s">
        <v>108</v>
      </c>
      <c r="BP78" s="34" t="s">
        <v>109</v>
      </c>
      <c r="BQ78" s="209">
        <v>4000</v>
      </c>
      <c r="BR78" s="26" t="s">
        <v>108</v>
      </c>
      <c r="BS78" s="34" t="s">
        <v>110</v>
      </c>
      <c r="BT78" s="209">
        <v>5500</v>
      </c>
      <c r="BU78" s="211">
        <v>11000</v>
      </c>
      <c r="BV78" s="212" t="s">
        <v>100</v>
      </c>
      <c r="BW78" s="212" t="s">
        <v>286</v>
      </c>
      <c r="BX78" s="213" t="s">
        <v>100</v>
      </c>
      <c r="BY78" s="213" t="s">
        <v>100</v>
      </c>
      <c r="BZ78" s="45">
        <v>2000</v>
      </c>
    </row>
    <row r="79" spans="3:78" ht="144" customHeight="1" thickBot="1">
      <c r="C79" s="1"/>
      <c r="D79" s="297"/>
      <c r="E79" s="306"/>
      <c r="F79" s="309"/>
      <c r="G79" s="149">
        <v>7875</v>
      </c>
      <c r="H79" s="150">
        <v>6300</v>
      </c>
      <c r="I79" s="150">
        <v>10000</v>
      </c>
      <c r="J79" s="150">
        <v>10000</v>
      </c>
      <c r="K79" s="150">
        <v>50</v>
      </c>
      <c r="L79" s="150">
        <v>455</v>
      </c>
      <c r="M79" s="157" t="s">
        <v>261</v>
      </c>
      <c r="N79" s="152">
        <v>1388000</v>
      </c>
      <c r="O79" s="150" t="s">
        <v>89</v>
      </c>
      <c r="P79" s="150">
        <v>8</v>
      </c>
      <c r="Q79" s="153" t="s">
        <v>90</v>
      </c>
      <c r="R79" s="153" t="s">
        <v>91</v>
      </c>
      <c r="S79" s="153" t="s">
        <v>91</v>
      </c>
      <c r="T79" s="154" t="s">
        <v>92</v>
      </c>
      <c r="U79" s="154" t="s">
        <v>93</v>
      </c>
      <c r="V79" s="150" t="s">
        <v>99</v>
      </c>
      <c r="W79" s="150">
        <v>31</v>
      </c>
      <c r="X79" s="155" t="s">
        <v>95</v>
      </c>
      <c r="Y79" s="155" t="s">
        <v>96</v>
      </c>
      <c r="Z79" s="156">
        <v>60000</v>
      </c>
      <c r="AA79" s="157" t="s">
        <v>281</v>
      </c>
      <c r="AB79" s="156">
        <v>22850</v>
      </c>
      <c r="AC79" s="160" t="s">
        <v>145</v>
      </c>
      <c r="AD79" s="112" t="s">
        <v>151</v>
      </c>
      <c r="AE79" s="35"/>
      <c r="AF79" s="37">
        <v>1285100</v>
      </c>
      <c r="AG79" s="29" t="s">
        <v>98</v>
      </c>
      <c r="AH79" s="228">
        <v>111040</v>
      </c>
      <c r="AI79" s="229" t="s">
        <v>324</v>
      </c>
      <c r="AJ79" s="230">
        <v>60000</v>
      </c>
      <c r="AK79" s="230" t="s">
        <v>278</v>
      </c>
      <c r="AL79" s="230">
        <v>23400</v>
      </c>
      <c r="AM79" s="231" t="s">
        <v>99</v>
      </c>
      <c r="AN79" s="248">
        <v>115620</v>
      </c>
      <c r="AO79" s="249" t="s">
        <v>305</v>
      </c>
      <c r="AP79" s="249" t="s">
        <v>308</v>
      </c>
      <c r="AQ79" s="250">
        <v>4000</v>
      </c>
      <c r="AR79" s="250" t="s">
        <v>94</v>
      </c>
      <c r="AS79" s="250">
        <v>2500</v>
      </c>
      <c r="AT79" s="29">
        <v>41</v>
      </c>
      <c r="AU79" s="29" t="s">
        <v>100</v>
      </c>
      <c r="AV79" s="31">
        <v>42</v>
      </c>
      <c r="AW79" s="31" t="s">
        <v>100</v>
      </c>
      <c r="AX79" s="339" t="s">
        <v>272</v>
      </c>
      <c r="AY79" s="340"/>
      <c r="AZ79" s="340"/>
      <c r="BA79" s="340"/>
      <c r="BB79" s="341"/>
      <c r="BC79" s="44" t="s">
        <v>102</v>
      </c>
      <c r="BD79" s="33" t="s">
        <v>103</v>
      </c>
      <c r="BE79" s="271" t="s">
        <v>104</v>
      </c>
      <c r="BF79" s="271" t="s">
        <v>105</v>
      </c>
      <c r="BG79" s="269">
        <v>0</v>
      </c>
      <c r="BH79" s="333" t="s">
        <v>150</v>
      </c>
      <c r="BI79" s="334"/>
      <c r="BJ79" s="334"/>
      <c r="BK79" s="335"/>
      <c r="BL79" s="26" t="s">
        <v>106</v>
      </c>
      <c r="BM79" s="26" t="s">
        <v>107</v>
      </c>
      <c r="BN79" s="209">
        <v>0</v>
      </c>
      <c r="BO79" s="26" t="s">
        <v>108</v>
      </c>
      <c r="BP79" s="34" t="s">
        <v>109</v>
      </c>
      <c r="BQ79" s="209">
        <v>4000</v>
      </c>
      <c r="BR79" s="26" t="s">
        <v>108</v>
      </c>
      <c r="BS79" s="34" t="s">
        <v>110</v>
      </c>
      <c r="BT79" s="209">
        <v>5500</v>
      </c>
      <c r="BU79" s="211">
        <v>11000</v>
      </c>
      <c r="BV79" s="212" t="s">
        <v>100</v>
      </c>
      <c r="BW79" s="212" t="s">
        <v>286</v>
      </c>
      <c r="BX79" s="213" t="s">
        <v>100</v>
      </c>
      <c r="BY79" s="213" t="s">
        <v>100</v>
      </c>
      <c r="BZ79" s="45">
        <v>2000</v>
      </c>
    </row>
    <row r="80" spans="3:78" ht="13.5" thickBot="1">
      <c r="C80" s="1"/>
      <c r="D80" s="36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36"/>
      <c r="AJ80" s="36"/>
      <c r="AK80" s="1"/>
      <c r="AL80" s="36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288"/>
      <c r="BF80" s="288"/>
      <c r="BG80" s="288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Z80" s="36"/>
    </row>
    <row r="81" spans="3:78" ht="25.5" customHeight="1">
      <c r="C81" s="1"/>
      <c r="D81" s="295">
        <v>4</v>
      </c>
      <c r="E81" s="304" t="s">
        <v>347</v>
      </c>
      <c r="F81" s="307" t="s">
        <v>346</v>
      </c>
      <c r="G81" s="67">
        <v>315</v>
      </c>
      <c r="H81" s="68">
        <v>250</v>
      </c>
      <c r="I81" s="68">
        <v>10000</v>
      </c>
      <c r="J81" s="68">
        <v>10000</v>
      </c>
      <c r="K81" s="68">
        <v>50</v>
      </c>
      <c r="L81" s="68">
        <v>19</v>
      </c>
      <c r="M81" s="83" t="s">
        <v>254</v>
      </c>
      <c r="N81" s="196">
        <f>N57+12637</f>
        <v>235648</v>
      </c>
      <c r="O81" s="68" t="s">
        <v>89</v>
      </c>
      <c r="P81" s="68">
        <v>9</v>
      </c>
      <c r="Q81" s="70" t="s">
        <v>90</v>
      </c>
      <c r="R81" s="70" t="s">
        <v>91</v>
      </c>
      <c r="S81" s="70" t="s">
        <v>91</v>
      </c>
      <c r="T81" s="71" t="s">
        <v>92</v>
      </c>
      <c r="U81" s="71" t="s">
        <v>93</v>
      </c>
      <c r="V81" s="68" t="s">
        <v>94</v>
      </c>
      <c r="W81" s="68">
        <v>31</v>
      </c>
      <c r="X81" s="72" t="s">
        <v>95</v>
      </c>
      <c r="Y81" s="72" t="s">
        <v>96</v>
      </c>
      <c r="Z81" s="86">
        <v>18000</v>
      </c>
      <c r="AA81" s="83" t="s">
        <v>188</v>
      </c>
      <c r="AB81" s="86">
        <v>6330</v>
      </c>
      <c r="AC81" s="68" t="s">
        <v>97</v>
      </c>
      <c r="AD81" s="73" t="s">
        <v>97</v>
      </c>
      <c r="AE81" s="28"/>
      <c r="AF81" s="37">
        <f>AF57+12637</f>
        <v>223248</v>
      </c>
      <c r="AG81" s="29" t="s">
        <v>98</v>
      </c>
      <c r="AH81" s="226">
        <v>17841</v>
      </c>
      <c r="AI81" s="243" t="s">
        <v>317</v>
      </c>
      <c r="AJ81" s="39">
        <v>18000</v>
      </c>
      <c r="AK81" s="39" t="s">
        <v>188</v>
      </c>
      <c r="AL81" s="39">
        <v>6390</v>
      </c>
      <c r="AM81" s="30" t="s">
        <v>99</v>
      </c>
      <c r="AN81" s="40">
        <v>63818</v>
      </c>
      <c r="AO81" s="41" t="s">
        <v>303</v>
      </c>
      <c r="AP81" s="41" t="s">
        <v>306</v>
      </c>
      <c r="AQ81" s="27">
        <v>3000</v>
      </c>
      <c r="AR81" s="27" t="s">
        <v>94</v>
      </c>
      <c r="AS81" s="27">
        <v>900</v>
      </c>
      <c r="AT81" s="29">
        <v>41</v>
      </c>
      <c r="AU81" s="29" t="s">
        <v>100</v>
      </c>
      <c r="AV81" s="31">
        <v>42</v>
      </c>
      <c r="AW81" s="31" t="s">
        <v>100</v>
      </c>
      <c r="AX81" s="42">
        <v>16000</v>
      </c>
      <c r="AY81" s="43" t="s">
        <v>100</v>
      </c>
      <c r="AZ81" s="43" t="s">
        <v>270</v>
      </c>
      <c r="BA81" s="32" t="s">
        <v>94</v>
      </c>
      <c r="BB81" s="32">
        <v>500</v>
      </c>
      <c r="BC81" s="44" t="s">
        <v>102</v>
      </c>
      <c r="BD81" s="33" t="s">
        <v>103</v>
      </c>
      <c r="BE81" s="271" t="s">
        <v>104</v>
      </c>
      <c r="BF81" s="271" t="s">
        <v>105</v>
      </c>
      <c r="BG81" s="269">
        <v>0</v>
      </c>
      <c r="BH81" s="42">
        <v>30000</v>
      </c>
      <c r="BI81" s="47" t="s">
        <v>100</v>
      </c>
      <c r="BJ81" s="32" t="s">
        <v>309</v>
      </c>
      <c r="BK81" s="32">
        <v>500</v>
      </c>
      <c r="BL81" s="26" t="s">
        <v>106</v>
      </c>
      <c r="BM81" s="26" t="s">
        <v>107</v>
      </c>
      <c r="BN81" s="209">
        <v>0</v>
      </c>
      <c r="BO81" s="26" t="s">
        <v>108</v>
      </c>
      <c r="BP81" s="34" t="s">
        <v>109</v>
      </c>
      <c r="BQ81" s="209">
        <v>4000</v>
      </c>
      <c r="BR81" s="26" t="s">
        <v>108</v>
      </c>
      <c r="BS81" s="34" t="s">
        <v>110</v>
      </c>
      <c r="BT81" s="209">
        <v>5500</v>
      </c>
      <c r="BU81" s="211">
        <v>11000</v>
      </c>
      <c r="BV81" s="212" t="s">
        <v>100</v>
      </c>
      <c r="BW81" s="212" t="s">
        <v>286</v>
      </c>
      <c r="BX81" s="213" t="s">
        <v>100</v>
      </c>
      <c r="BY81" s="213" t="s">
        <v>100</v>
      </c>
      <c r="BZ81" s="45">
        <v>2000</v>
      </c>
    </row>
    <row r="82" spans="3:78" ht="25.5">
      <c r="C82" s="1"/>
      <c r="D82" s="296"/>
      <c r="E82" s="305"/>
      <c r="F82" s="308"/>
      <c r="G82" s="74">
        <v>340</v>
      </c>
      <c r="H82" s="62">
        <v>280</v>
      </c>
      <c r="I82" s="62">
        <v>10000</v>
      </c>
      <c r="J82" s="62">
        <v>10000</v>
      </c>
      <c r="K82" s="62">
        <v>50</v>
      </c>
      <c r="L82" s="62">
        <v>21</v>
      </c>
      <c r="M82" s="84" t="s">
        <v>254</v>
      </c>
      <c r="N82" s="197">
        <f>N58+12690</f>
        <v>236002</v>
      </c>
      <c r="O82" s="62" t="s">
        <v>89</v>
      </c>
      <c r="P82" s="62">
        <v>9</v>
      </c>
      <c r="Q82" s="64" t="s">
        <v>90</v>
      </c>
      <c r="R82" s="64" t="s">
        <v>91</v>
      </c>
      <c r="S82" s="64" t="s">
        <v>91</v>
      </c>
      <c r="T82" s="65" t="s">
        <v>92</v>
      </c>
      <c r="U82" s="65" t="s">
        <v>93</v>
      </c>
      <c r="V82" s="62" t="s">
        <v>94</v>
      </c>
      <c r="W82" s="62">
        <v>31</v>
      </c>
      <c r="X82" s="66" t="s">
        <v>95</v>
      </c>
      <c r="Y82" s="66" t="s">
        <v>96</v>
      </c>
      <c r="Z82" s="87">
        <v>18000</v>
      </c>
      <c r="AA82" s="84" t="s">
        <v>188</v>
      </c>
      <c r="AB82" s="87">
        <v>6330</v>
      </c>
      <c r="AC82" s="62" t="s">
        <v>97</v>
      </c>
      <c r="AD82" s="75" t="s">
        <v>97</v>
      </c>
      <c r="AE82" s="35"/>
      <c r="AF82" s="37">
        <f>AF58+12690</f>
        <v>224198</v>
      </c>
      <c r="AG82" s="29" t="s">
        <v>98</v>
      </c>
      <c r="AH82" s="226">
        <v>17865</v>
      </c>
      <c r="AI82" s="243" t="s">
        <v>317</v>
      </c>
      <c r="AJ82" s="39">
        <v>18000</v>
      </c>
      <c r="AK82" s="39" t="s">
        <v>188</v>
      </c>
      <c r="AL82" s="39">
        <v>6390</v>
      </c>
      <c r="AM82" s="30" t="s">
        <v>99</v>
      </c>
      <c r="AN82" s="40">
        <v>63818</v>
      </c>
      <c r="AO82" s="41" t="s">
        <v>303</v>
      </c>
      <c r="AP82" s="41" t="s">
        <v>306</v>
      </c>
      <c r="AQ82" s="27">
        <v>3000</v>
      </c>
      <c r="AR82" s="27" t="s">
        <v>94</v>
      </c>
      <c r="AS82" s="27">
        <v>900</v>
      </c>
      <c r="AT82" s="29">
        <v>41</v>
      </c>
      <c r="AU82" s="29" t="s">
        <v>100</v>
      </c>
      <c r="AV82" s="31">
        <v>42</v>
      </c>
      <c r="AW82" s="31" t="s">
        <v>100</v>
      </c>
      <c r="AX82" s="42">
        <v>16000</v>
      </c>
      <c r="AY82" s="43" t="s">
        <v>100</v>
      </c>
      <c r="AZ82" s="43" t="s">
        <v>270</v>
      </c>
      <c r="BA82" s="32" t="s">
        <v>94</v>
      </c>
      <c r="BB82" s="32">
        <v>500</v>
      </c>
      <c r="BC82" s="44" t="s">
        <v>102</v>
      </c>
      <c r="BD82" s="33" t="s">
        <v>103</v>
      </c>
      <c r="BE82" s="271" t="s">
        <v>104</v>
      </c>
      <c r="BF82" s="271" t="s">
        <v>105</v>
      </c>
      <c r="BG82" s="269">
        <v>0</v>
      </c>
      <c r="BH82" s="42">
        <v>30000</v>
      </c>
      <c r="BI82" s="47" t="s">
        <v>100</v>
      </c>
      <c r="BJ82" s="32" t="s">
        <v>309</v>
      </c>
      <c r="BK82" s="32">
        <v>500</v>
      </c>
      <c r="BL82" s="26" t="s">
        <v>106</v>
      </c>
      <c r="BM82" s="26" t="s">
        <v>107</v>
      </c>
      <c r="BN82" s="209">
        <v>0</v>
      </c>
      <c r="BO82" s="26" t="s">
        <v>108</v>
      </c>
      <c r="BP82" s="34" t="s">
        <v>109</v>
      </c>
      <c r="BQ82" s="209">
        <v>4000</v>
      </c>
      <c r="BR82" s="26" t="s">
        <v>108</v>
      </c>
      <c r="BS82" s="34" t="s">
        <v>110</v>
      </c>
      <c r="BT82" s="209">
        <v>5500</v>
      </c>
      <c r="BU82" s="211">
        <v>11000</v>
      </c>
      <c r="BV82" s="212" t="s">
        <v>100</v>
      </c>
      <c r="BW82" s="212" t="s">
        <v>286</v>
      </c>
      <c r="BX82" s="213" t="s">
        <v>100</v>
      </c>
      <c r="BY82" s="213" t="s">
        <v>100</v>
      </c>
      <c r="BZ82" s="45">
        <v>2000</v>
      </c>
    </row>
    <row r="83" spans="3:78" ht="25.5">
      <c r="C83" s="1"/>
      <c r="D83" s="296"/>
      <c r="E83" s="305"/>
      <c r="F83" s="308"/>
      <c r="G83" s="74">
        <v>395</v>
      </c>
      <c r="H83" s="62">
        <v>315</v>
      </c>
      <c r="I83" s="62">
        <v>10000</v>
      </c>
      <c r="J83" s="62">
        <v>10000</v>
      </c>
      <c r="K83" s="62">
        <v>50</v>
      </c>
      <c r="L83" s="62">
        <v>24</v>
      </c>
      <c r="M83" s="84" t="s">
        <v>254</v>
      </c>
      <c r="N83" s="197">
        <f>N59+12773</f>
        <v>236545</v>
      </c>
      <c r="O83" s="62" t="s">
        <v>89</v>
      </c>
      <c r="P83" s="62">
        <v>9</v>
      </c>
      <c r="Q83" s="64" t="s">
        <v>90</v>
      </c>
      <c r="R83" s="64" t="s">
        <v>91</v>
      </c>
      <c r="S83" s="64" t="s">
        <v>91</v>
      </c>
      <c r="T83" s="65" t="s">
        <v>92</v>
      </c>
      <c r="U83" s="65" t="s">
        <v>93</v>
      </c>
      <c r="V83" s="62" t="s">
        <v>94</v>
      </c>
      <c r="W83" s="62">
        <v>31</v>
      </c>
      <c r="X83" s="66" t="s">
        <v>95</v>
      </c>
      <c r="Y83" s="66" t="s">
        <v>96</v>
      </c>
      <c r="Z83" s="87">
        <v>18000</v>
      </c>
      <c r="AA83" s="84" t="s">
        <v>188</v>
      </c>
      <c r="AB83" s="87">
        <v>6330</v>
      </c>
      <c r="AC83" s="62" t="s">
        <v>97</v>
      </c>
      <c r="AD83" s="75" t="s">
        <v>97</v>
      </c>
      <c r="AE83" s="35"/>
      <c r="AF83" s="37">
        <f>AF59+12773</f>
        <v>225660</v>
      </c>
      <c r="AG83" s="29" t="s">
        <v>98</v>
      </c>
      <c r="AH83" s="226">
        <v>17902</v>
      </c>
      <c r="AI83" s="243" t="s">
        <v>317</v>
      </c>
      <c r="AJ83" s="39">
        <v>18000</v>
      </c>
      <c r="AK83" s="39" t="s">
        <v>188</v>
      </c>
      <c r="AL83" s="39">
        <v>6390</v>
      </c>
      <c r="AM83" s="30" t="s">
        <v>99</v>
      </c>
      <c r="AN83" s="40">
        <v>63818</v>
      </c>
      <c r="AO83" s="41" t="s">
        <v>303</v>
      </c>
      <c r="AP83" s="41" t="s">
        <v>306</v>
      </c>
      <c r="AQ83" s="27">
        <v>3000</v>
      </c>
      <c r="AR83" s="27" t="s">
        <v>94</v>
      </c>
      <c r="AS83" s="27">
        <v>900</v>
      </c>
      <c r="AT83" s="29">
        <v>41</v>
      </c>
      <c r="AU83" s="29" t="s">
        <v>100</v>
      </c>
      <c r="AV83" s="31">
        <v>42</v>
      </c>
      <c r="AW83" s="31" t="s">
        <v>100</v>
      </c>
      <c r="AX83" s="42">
        <v>16000</v>
      </c>
      <c r="AY83" s="43" t="s">
        <v>100</v>
      </c>
      <c r="AZ83" s="43" t="s">
        <v>270</v>
      </c>
      <c r="BA83" s="32" t="s">
        <v>94</v>
      </c>
      <c r="BB83" s="32">
        <v>500</v>
      </c>
      <c r="BC83" s="44" t="s">
        <v>102</v>
      </c>
      <c r="BD83" s="33" t="s">
        <v>103</v>
      </c>
      <c r="BE83" s="271" t="s">
        <v>104</v>
      </c>
      <c r="BF83" s="271" t="s">
        <v>105</v>
      </c>
      <c r="BG83" s="269">
        <v>0</v>
      </c>
      <c r="BH83" s="42">
        <v>30000</v>
      </c>
      <c r="BI83" s="47" t="s">
        <v>100</v>
      </c>
      <c r="BJ83" s="32" t="s">
        <v>309</v>
      </c>
      <c r="BK83" s="32">
        <v>500</v>
      </c>
      <c r="BL83" s="26" t="s">
        <v>106</v>
      </c>
      <c r="BM83" s="26" t="s">
        <v>107</v>
      </c>
      <c r="BN83" s="209">
        <v>0</v>
      </c>
      <c r="BO83" s="26" t="s">
        <v>108</v>
      </c>
      <c r="BP83" s="34" t="s">
        <v>109</v>
      </c>
      <c r="BQ83" s="209">
        <v>4000</v>
      </c>
      <c r="BR83" s="26" t="s">
        <v>108</v>
      </c>
      <c r="BS83" s="34" t="s">
        <v>110</v>
      </c>
      <c r="BT83" s="209">
        <v>5500</v>
      </c>
      <c r="BU83" s="211">
        <v>11000</v>
      </c>
      <c r="BV83" s="212" t="s">
        <v>100</v>
      </c>
      <c r="BW83" s="212" t="s">
        <v>286</v>
      </c>
      <c r="BX83" s="213" t="s">
        <v>100</v>
      </c>
      <c r="BY83" s="213" t="s">
        <v>100</v>
      </c>
      <c r="BZ83" s="45">
        <v>2000</v>
      </c>
    </row>
    <row r="84" spans="3:78" ht="25.5">
      <c r="C84" s="1"/>
      <c r="D84" s="296"/>
      <c r="E84" s="305"/>
      <c r="F84" s="308"/>
      <c r="G84" s="74">
        <v>445</v>
      </c>
      <c r="H84" s="62">
        <v>355</v>
      </c>
      <c r="I84" s="62">
        <v>10000</v>
      </c>
      <c r="J84" s="62">
        <v>10000</v>
      </c>
      <c r="K84" s="62">
        <v>50</v>
      </c>
      <c r="L84" s="62">
        <v>27</v>
      </c>
      <c r="M84" s="84" t="s">
        <v>254</v>
      </c>
      <c r="N84" s="197">
        <f>N60+13269</f>
        <v>244465</v>
      </c>
      <c r="O84" s="62" t="s">
        <v>89</v>
      </c>
      <c r="P84" s="62">
        <v>9</v>
      </c>
      <c r="Q84" s="64" t="s">
        <v>90</v>
      </c>
      <c r="R84" s="64" t="s">
        <v>91</v>
      </c>
      <c r="S84" s="64" t="s">
        <v>91</v>
      </c>
      <c r="T84" s="65" t="s">
        <v>92</v>
      </c>
      <c r="U84" s="65" t="s">
        <v>93</v>
      </c>
      <c r="V84" s="62" t="s">
        <v>94</v>
      </c>
      <c r="W84" s="62">
        <v>31</v>
      </c>
      <c r="X84" s="66" t="s">
        <v>95</v>
      </c>
      <c r="Y84" s="66" t="s">
        <v>96</v>
      </c>
      <c r="Z84" s="87">
        <v>18000</v>
      </c>
      <c r="AA84" s="84" t="s">
        <v>188</v>
      </c>
      <c r="AB84" s="87">
        <v>6330</v>
      </c>
      <c r="AC84" s="62" t="s">
        <v>97</v>
      </c>
      <c r="AD84" s="75" t="s">
        <v>97</v>
      </c>
      <c r="AE84" s="35"/>
      <c r="AF84" s="37">
        <f>AF60+13269</f>
        <v>234413</v>
      </c>
      <c r="AG84" s="29" t="s">
        <v>98</v>
      </c>
      <c r="AH84" s="226">
        <v>18496</v>
      </c>
      <c r="AI84" s="243" t="s">
        <v>317</v>
      </c>
      <c r="AJ84" s="39">
        <v>18000</v>
      </c>
      <c r="AK84" s="39" t="s">
        <v>188</v>
      </c>
      <c r="AL84" s="39">
        <v>6390</v>
      </c>
      <c r="AM84" s="30" t="s">
        <v>99</v>
      </c>
      <c r="AN84" s="40">
        <v>63818</v>
      </c>
      <c r="AO84" s="41" t="s">
        <v>303</v>
      </c>
      <c r="AP84" s="41" t="s">
        <v>306</v>
      </c>
      <c r="AQ84" s="27">
        <v>3000</v>
      </c>
      <c r="AR84" s="27" t="s">
        <v>94</v>
      </c>
      <c r="AS84" s="27">
        <v>900</v>
      </c>
      <c r="AT84" s="29">
        <v>41</v>
      </c>
      <c r="AU84" s="29" t="s">
        <v>100</v>
      </c>
      <c r="AV84" s="31">
        <v>42</v>
      </c>
      <c r="AW84" s="31" t="s">
        <v>100</v>
      </c>
      <c r="AX84" s="42">
        <v>16000</v>
      </c>
      <c r="AY84" s="43" t="s">
        <v>100</v>
      </c>
      <c r="AZ84" s="43" t="s">
        <v>270</v>
      </c>
      <c r="BA84" s="32" t="s">
        <v>94</v>
      </c>
      <c r="BB84" s="32">
        <v>500</v>
      </c>
      <c r="BC84" s="44" t="s">
        <v>102</v>
      </c>
      <c r="BD84" s="33" t="s">
        <v>103</v>
      </c>
      <c r="BE84" s="271" t="s">
        <v>104</v>
      </c>
      <c r="BF84" s="271" t="s">
        <v>105</v>
      </c>
      <c r="BG84" s="269">
        <v>0</v>
      </c>
      <c r="BH84" s="42">
        <v>30000</v>
      </c>
      <c r="BI84" s="47" t="s">
        <v>100</v>
      </c>
      <c r="BJ84" s="32" t="s">
        <v>309</v>
      </c>
      <c r="BK84" s="32">
        <v>500</v>
      </c>
      <c r="BL84" s="26" t="s">
        <v>106</v>
      </c>
      <c r="BM84" s="26" t="s">
        <v>107</v>
      </c>
      <c r="BN84" s="209">
        <v>0</v>
      </c>
      <c r="BO84" s="26" t="s">
        <v>108</v>
      </c>
      <c r="BP84" s="34" t="s">
        <v>109</v>
      </c>
      <c r="BQ84" s="209">
        <v>4000</v>
      </c>
      <c r="BR84" s="26" t="s">
        <v>108</v>
      </c>
      <c r="BS84" s="34" t="s">
        <v>110</v>
      </c>
      <c r="BT84" s="209">
        <v>5500</v>
      </c>
      <c r="BU84" s="211">
        <v>11000</v>
      </c>
      <c r="BV84" s="212" t="s">
        <v>100</v>
      </c>
      <c r="BW84" s="212" t="s">
        <v>286</v>
      </c>
      <c r="BX84" s="213" t="s">
        <v>100</v>
      </c>
      <c r="BY84" s="213" t="s">
        <v>100</v>
      </c>
      <c r="BZ84" s="45">
        <v>2000</v>
      </c>
    </row>
    <row r="85" spans="3:78" ht="25.5">
      <c r="C85" s="1"/>
      <c r="D85" s="296"/>
      <c r="E85" s="305"/>
      <c r="F85" s="308"/>
      <c r="G85" s="74">
        <v>500</v>
      </c>
      <c r="H85" s="62">
        <v>400</v>
      </c>
      <c r="I85" s="62">
        <v>10000</v>
      </c>
      <c r="J85" s="62">
        <v>10000</v>
      </c>
      <c r="K85" s="62">
        <v>50</v>
      </c>
      <c r="L85" s="62">
        <v>29</v>
      </c>
      <c r="M85" s="84" t="s">
        <v>254</v>
      </c>
      <c r="N85" s="197">
        <f>N61+13338</f>
        <v>246078</v>
      </c>
      <c r="O85" s="62" t="s">
        <v>89</v>
      </c>
      <c r="P85" s="62">
        <v>9</v>
      </c>
      <c r="Q85" s="64" t="s">
        <v>90</v>
      </c>
      <c r="R85" s="64" t="s">
        <v>91</v>
      </c>
      <c r="S85" s="64" t="s">
        <v>91</v>
      </c>
      <c r="T85" s="65" t="s">
        <v>92</v>
      </c>
      <c r="U85" s="65" t="s">
        <v>93</v>
      </c>
      <c r="V85" s="62" t="s">
        <v>94</v>
      </c>
      <c r="W85" s="62">
        <v>31</v>
      </c>
      <c r="X85" s="66" t="s">
        <v>95</v>
      </c>
      <c r="Y85" s="66" t="s">
        <v>96</v>
      </c>
      <c r="Z85" s="87">
        <v>18000</v>
      </c>
      <c r="AA85" s="84" t="s">
        <v>188</v>
      </c>
      <c r="AB85" s="87">
        <v>6330</v>
      </c>
      <c r="AC85" s="62" t="s">
        <v>97</v>
      </c>
      <c r="AD85" s="75" t="s">
        <v>97</v>
      </c>
      <c r="AE85" s="35"/>
      <c r="AF85" s="37">
        <f>AF61+13338</f>
        <v>235631</v>
      </c>
      <c r="AG85" s="29" t="s">
        <v>98</v>
      </c>
      <c r="AH85" s="226">
        <v>18619</v>
      </c>
      <c r="AI85" s="243" t="s">
        <v>317</v>
      </c>
      <c r="AJ85" s="39">
        <v>18000</v>
      </c>
      <c r="AK85" s="39" t="s">
        <v>188</v>
      </c>
      <c r="AL85" s="39">
        <v>6390</v>
      </c>
      <c r="AM85" s="30" t="s">
        <v>99</v>
      </c>
      <c r="AN85" s="40">
        <v>63818</v>
      </c>
      <c r="AO85" s="41" t="s">
        <v>303</v>
      </c>
      <c r="AP85" s="41" t="s">
        <v>306</v>
      </c>
      <c r="AQ85" s="27">
        <v>3000</v>
      </c>
      <c r="AR85" s="27" t="s">
        <v>94</v>
      </c>
      <c r="AS85" s="27">
        <v>900</v>
      </c>
      <c r="AT85" s="29">
        <v>41</v>
      </c>
      <c r="AU85" s="29" t="s">
        <v>100</v>
      </c>
      <c r="AV85" s="31">
        <v>42</v>
      </c>
      <c r="AW85" s="31" t="s">
        <v>100</v>
      </c>
      <c r="AX85" s="42">
        <v>16000</v>
      </c>
      <c r="AY85" s="43" t="s">
        <v>100</v>
      </c>
      <c r="AZ85" s="43" t="s">
        <v>270</v>
      </c>
      <c r="BA85" s="32" t="s">
        <v>94</v>
      </c>
      <c r="BB85" s="32">
        <v>500</v>
      </c>
      <c r="BC85" s="44" t="s">
        <v>102</v>
      </c>
      <c r="BD85" s="33" t="s">
        <v>103</v>
      </c>
      <c r="BE85" s="271" t="s">
        <v>104</v>
      </c>
      <c r="BF85" s="271" t="s">
        <v>105</v>
      </c>
      <c r="BG85" s="269">
        <v>0</v>
      </c>
      <c r="BH85" s="42">
        <v>30000</v>
      </c>
      <c r="BI85" s="47" t="s">
        <v>100</v>
      </c>
      <c r="BJ85" s="32" t="s">
        <v>309</v>
      </c>
      <c r="BK85" s="32">
        <v>500</v>
      </c>
      <c r="BL85" s="26" t="s">
        <v>106</v>
      </c>
      <c r="BM85" s="26" t="s">
        <v>107</v>
      </c>
      <c r="BN85" s="209">
        <v>0</v>
      </c>
      <c r="BO85" s="26" t="s">
        <v>108</v>
      </c>
      <c r="BP85" s="34" t="s">
        <v>109</v>
      </c>
      <c r="BQ85" s="209">
        <v>4000</v>
      </c>
      <c r="BR85" s="26" t="s">
        <v>108</v>
      </c>
      <c r="BS85" s="34" t="s">
        <v>110</v>
      </c>
      <c r="BT85" s="209">
        <v>5500</v>
      </c>
      <c r="BU85" s="211">
        <v>11000</v>
      </c>
      <c r="BV85" s="212" t="s">
        <v>100</v>
      </c>
      <c r="BW85" s="212" t="s">
        <v>286</v>
      </c>
      <c r="BX85" s="213" t="s">
        <v>100</v>
      </c>
      <c r="BY85" s="213" t="s">
        <v>100</v>
      </c>
      <c r="BZ85" s="45">
        <v>2000</v>
      </c>
    </row>
    <row r="86" spans="3:78" ht="25.5">
      <c r="C86" s="1"/>
      <c r="D86" s="296"/>
      <c r="E86" s="305"/>
      <c r="F86" s="308"/>
      <c r="G86" s="74">
        <v>565</v>
      </c>
      <c r="H86" s="62">
        <v>450</v>
      </c>
      <c r="I86" s="62">
        <v>10000</v>
      </c>
      <c r="J86" s="62">
        <v>10000</v>
      </c>
      <c r="K86" s="62">
        <v>50</v>
      </c>
      <c r="L86" s="62">
        <v>34</v>
      </c>
      <c r="M86" s="84" t="s">
        <v>254</v>
      </c>
      <c r="N86" s="197">
        <f>N62+13455</f>
        <v>247573</v>
      </c>
      <c r="O86" s="62" t="s">
        <v>89</v>
      </c>
      <c r="P86" s="62">
        <v>9</v>
      </c>
      <c r="Q86" s="64" t="s">
        <v>90</v>
      </c>
      <c r="R86" s="64" t="s">
        <v>91</v>
      </c>
      <c r="S86" s="64" t="s">
        <v>91</v>
      </c>
      <c r="T86" s="65" t="s">
        <v>92</v>
      </c>
      <c r="U86" s="65" t="s">
        <v>93</v>
      </c>
      <c r="V86" s="62" t="s">
        <v>94</v>
      </c>
      <c r="W86" s="62">
        <v>31</v>
      </c>
      <c r="X86" s="66" t="s">
        <v>95</v>
      </c>
      <c r="Y86" s="66" t="s">
        <v>96</v>
      </c>
      <c r="Z86" s="87">
        <v>18000</v>
      </c>
      <c r="AA86" s="84" t="s">
        <v>188</v>
      </c>
      <c r="AB86" s="87">
        <v>6330</v>
      </c>
      <c r="AC86" s="62" t="s">
        <v>97</v>
      </c>
      <c r="AD86" s="75" t="s">
        <v>97</v>
      </c>
      <c r="AE86" s="35"/>
      <c r="AF86" s="37">
        <f>AF62+13455</f>
        <v>237708</v>
      </c>
      <c r="AG86" s="29" t="s">
        <v>98</v>
      </c>
      <c r="AH86" s="226">
        <v>18729</v>
      </c>
      <c r="AI86" s="243" t="s">
        <v>317</v>
      </c>
      <c r="AJ86" s="39">
        <v>18000</v>
      </c>
      <c r="AK86" s="39" t="s">
        <v>188</v>
      </c>
      <c r="AL86" s="39">
        <v>6390</v>
      </c>
      <c r="AM86" s="30" t="s">
        <v>99</v>
      </c>
      <c r="AN86" s="40">
        <v>63818</v>
      </c>
      <c r="AO86" s="41" t="s">
        <v>303</v>
      </c>
      <c r="AP86" s="41" t="s">
        <v>306</v>
      </c>
      <c r="AQ86" s="27">
        <v>3000</v>
      </c>
      <c r="AR86" s="27" t="s">
        <v>94</v>
      </c>
      <c r="AS86" s="27">
        <v>900</v>
      </c>
      <c r="AT86" s="29">
        <v>41</v>
      </c>
      <c r="AU86" s="29" t="s">
        <v>100</v>
      </c>
      <c r="AV86" s="31">
        <v>42</v>
      </c>
      <c r="AW86" s="31" t="s">
        <v>100</v>
      </c>
      <c r="AX86" s="42">
        <v>16000</v>
      </c>
      <c r="AY86" s="43" t="s">
        <v>100</v>
      </c>
      <c r="AZ86" s="43" t="s">
        <v>270</v>
      </c>
      <c r="BA86" s="32" t="s">
        <v>94</v>
      </c>
      <c r="BB86" s="32">
        <v>500</v>
      </c>
      <c r="BC86" s="44" t="s">
        <v>102</v>
      </c>
      <c r="BD86" s="33" t="s">
        <v>103</v>
      </c>
      <c r="BE86" s="271" t="s">
        <v>104</v>
      </c>
      <c r="BF86" s="271" t="s">
        <v>105</v>
      </c>
      <c r="BG86" s="269">
        <v>0</v>
      </c>
      <c r="BH86" s="42">
        <v>30000</v>
      </c>
      <c r="BI86" s="47" t="s">
        <v>100</v>
      </c>
      <c r="BJ86" s="32" t="s">
        <v>309</v>
      </c>
      <c r="BK86" s="32">
        <v>500</v>
      </c>
      <c r="BL86" s="26" t="s">
        <v>106</v>
      </c>
      <c r="BM86" s="26" t="s">
        <v>107</v>
      </c>
      <c r="BN86" s="209">
        <v>0</v>
      </c>
      <c r="BO86" s="26" t="s">
        <v>108</v>
      </c>
      <c r="BP86" s="34" t="s">
        <v>109</v>
      </c>
      <c r="BQ86" s="209">
        <v>4000</v>
      </c>
      <c r="BR86" s="26" t="s">
        <v>108</v>
      </c>
      <c r="BS86" s="34" t="s">
        <v>110</v>
      </c>
      <c r="BT86" s="209">
        <v>5500</v>
      </c>
      <c r="BU86" s="211">
        <v>11000</v>
      </c>
      <c r="BV86" s="212" t="s">
        <v>100</v>
      </c>
      <c r="BW86" s="212" t="s">
        <v>286</v>
      </c>
      <c r="BX86" s="213" t="s">
        <v>100</v>
      </c>
      <c r="BY86" s="213" t="s">
        <v>100</v>
      </c>
      <c r="BZ86" s="45">
        <v>2000</v>
      </c>
    </row>
    <row r="87" spans="3:78" ht="25.5">
      <c r="C87" s="1"/>
      <c r="D87" s="296"/>
      <c r="E87" s="305"/>
      <c r="F87" s="308"/>
      <c r="G87" s="74">
        <v>625</v>
      </c>
      <c r="H87" s="62">
        <v>500</v>
      </c>
      <c r="I87" s="62">
        <v>10000</v>
      </c>
      <c r="J87" s="62">
        <v>10000</v>
      </c>
      <c r="K87" s="62">
        <v>50</v>
      </c>
      <c r="L87" s="62">
        <v>38</v>
      </c>
      <c r="M87" s="84" t="s">
        <v>254</v>
      </c>
      <c r="N87" s="197">
        <f>N63+14033</f>
        <v>260106</v>
      </c>
      <c r="O87" s="62" t="s">
        <v>89</v>
      </c>
      <c r="P87" s="62">
        <v>9</v>
      </c>
      <c r="Q87" s="64" t="s">
        <v>90</v>
      </c>
      <c r="R87" s="64" t="s">
        <v>91</v>
      </c>
      <c r="S87" s="64" t="s">
        <v>91</v>
      </c>
      <c r="T87" s="65" t="s">
        <v>92</v>
      </c>
      <c r="U87" s="65" t="s">
        <v>93</v>
      </c>
      <c r="V87" s="62" t="s">
        <v>94</v>
      </c>
      <c r="W87" s="62">
        <v>31</v>
      </c>
      <c r="X87" s="66" t="s">
        <v>95</v>
      </c>
      <c r="Y87" s="66" t="s">
        <v>96</v>
      </c>
      <c r="Z87" s="87">
        <v>18000</v>
      </c>
      <c r="AA87" s="84" t="s">
        <v>188</v>
      </c>
      <c r="AB87" s="87">
        <v>6330</v>
      </c>
      <c r="AC87" s="62" t="s">
        <v>97</v>
      </c>
      <c r="AD87" s="75" t="s">
        <v>97</v>
      </c>
      <c r="AE87" s="35"/>
      <c r="AF87" s="37">
        <f>AF63+14033</f>
        <v>247914</v>
      </c>
      <c r="AG87" s="29" t="s">
        <v>98</v>
      </c>
      <c r="AH87" s="226">
        <v>19686</v>
      </c>
      <c r="AI87" s="243" t="s">
        <v>317</v>
      </c>
      <c r="AJ87" s="39">
        <v>18000</v>
      </c>
      <c r="AK87" s="39" t="s">
        <v>188</v>
      </c>
      <c r="AL87" s="39">
        <v>6390</v>
      </c>
      <c r="AM87" s="30" t="s">
        <v>99</v>
      </c>
      <c r="AN87" s="40">
        <v>63818</v>
      </c>
      <c r="AO87" s="41" t="s">
        <v>303</v>
      </c>
      <c r="AP87" s="41" t="s">
        <v>306</v>
      </c>
      <c r="AQ87" s="27">
        <v>3000</v>
      </c>
      <c r="AR87" s="27" t="s">
        <v>94</v>
      </c>
      <c r="AS87" s="27">
        <v>900</v>
      </c>
      <c r="AT87" s="29">
        <v>41</v>
      </c>
      <c r="AU87" s="29" t="s">
        <v>100</v>
      </c>
      <c r="AV87" s="31">
        <v>42</v>
      </c>
      <c r="AW87" s="31" t="s">
        <v>100</v>
      </c>
      <c r="AX87" s="42">
        <v>16000</v>
      </c>
      <c r="AY87" s="43" t="s">
        <v>100</v>
      </c>
      <c r="AZ87" s="43" t="s">
        <v>270</v>
      </c>
      <c r="BA87" s="32" t="s">
        <v>94</v>
      </c>
      <c r="BB87" s="32">
        <v>500</v>
      </c>
      <c r="BC87" s="44" t="s">
        <v>102</v>
      </c>
      <c r="BD87" s="33" t="s">
        <v>103</v>
      </c>
      <c r="BE87" s="271" t="s">
        <v>104</v>
      </c>
      <c r="BF87" s="271" t="s">
        <v>105</v>
      </c>
      <c r="BG87" s="269">
        <v>0</v>
      </c>
      <c r="BH87" s="42">
        <v>30000</v>
      </c>
      <c r="BI87" s="47" t="s">
        <v>100</v>
      </c>
      <c r="BJ87" s="32" t="s">
        <v>309</v>
      </c>
      <c r="BK87" s="32">
        <v>500</v>
      </c>
      <c r="BL87" s="26" t="s">
        <v>106</v>
      </c>
      <c r="BM87" s="26" t="s">
        <v>107</v>
      </c>
      <c r="BN87" s="209">
        <v>0</v>
      </c>
      <c r="BO87" s="26" t="s">
        <v>108</v>
      </c>
      <c r="BP87" s="34" t="s">
        <v>109</v>
      </c>
      <c r="BQ87" s="209">
        <v>4000</v>
      </c>
      <c r="BR87" s="26" t="s">
        <v>108</v>
      </c>
      <c r="BS87" s="34" t="s">
        <v>110</v>
      </c>
      <c r="BT87" s="209">
        <v>5500</v>
      </c>
      <c r="BU87" s="211">
        <v>11000</v>
      </c>
      <c r="BV87" s="212" t="s">
        <v>100</v>
      </c>
      <c r="BW87" s="212" t="s">
        <v>286</v>
      </c>
      <c r="BX87" s="213" t="s">
        <v>100</v>
      </c>
      <c r="BY87" s="213" t="s">
        <v>100</v>
      </c>
      <c r="BZ87" s="45">
        <v>2000</v>
      </c>
    </row>
    <row r="88" spans="3:78" ht="25.5">
      <c r="C88" s="1"/>
      <c r="D88" s="296"/>
      <c r="E88" s="305"/>
      <c r="F88" s="308"/>
      <c r="G88" s="74">
        <v>700</v>
      </c>
      <c r="H88" s="62">
        <v>560</v>
      </c>
      <c r="I88" s="62">
        <v>10000</v>
      </c>
      <c r="J88" s="62">
        <v>10000</v>
      </c>
      <c r="K88" s="62">
        <v>50</v>
      </c>
      <c r="L88" s="62">
        <v>42</v>
      </c>
      <c r="M88" s="84" t="s">
        <v>254</v>
      </c>
      <c r="N88" s="197">
        <f>N64+14087</f>
        <v>264439</v>
      </c>
      <c r="O88" s="62" t="s">
        <v>89</v>
      </c>
      <c r="P88" s="62">
        <v>9</v>
      </c>
      <c r="Q88" s="64" t="s">
        <v>90</v>
      </c>
      <c r="R88" s="64" t="s">
        <v>91</v>
      </c>
      <c r="S88" s="64" t="s">
        <v>91</v>
      </c>
      <c r="T88" s="65" t="s">
        <v>92</v>
      </c>
      <c r="U88" s="65" t="s">
        <v>93</v>
      </c>
      <c r="V88" s="62" t="s">
        <v>94</v>
      </c>
      <c r="W88" s="62">
        <v>31</v>
      </c>
      <c r="X88" s="66" t="s">
        <v>95</v>
      </c>
      <c r="Y88" s="66" t="s">
        <v>96</v>
      </c>
      <c r="Z88" s="87">
        <v>18000</v>
      </c>
      <c r="AA88" s="84" t="s">
        <v>188</v>
      </c>
      <c r="AB88" s="87">
        <v>6330</v>
      </c>
      <c r="AC88" s="62" t="s">
        <v>97</v>
      </c>
      <c r="AD88" s="75" t="s">
        <v>97</v>
      </c>
      <c r="AE88" s="35"/>
      <c r="AF88" s="37">
        <f>AF64+14087</f>
        <v>248866</v>
      </c>
      <c r="AG88" s="29" t="s">
        <v>98</v>
      </c>
      <c r="AH88" s="226">
        <v>20028</v>
      </c>
      <c r="AI88" s="243" t="s">
        <v>317</v>
      </c>
      <c r="AJ88" s="39">
        <v>18000</v>
      </c>
      <c r="AK88" s="39" t="s">
        <v>188</v>
      </c>
      <c r="AL88" s="39">
        <v>6390</v>
      </c>
      <c r="AM88" s="30" t="s">
        <v>99</v>
      </c>
      <c r="AN88" s="40">
        <v>72050</v>
      </c>
      <c r="AO88" s="41" t="s">
        <v>303</v>
      </c>
      <c r="AP88" s="41" t="s">
        <v>306</v>
      </c>
      <c r="AQ88" s="27">
        <v>3000</v>
      </c>
      <c r="AR88" s="27" t="s">
        <v>94</v>
      </c>
      <c r="AS88" s="27">
        <v>900</v>
      </c>
      <c r="AT88" s="29">
        <v>41</v>
      </c>
      <c r="AU88" s="29" t="s">
        <v>100</v>
      </c>
      <c r="AV88" s="31">
        <v>42</v>
      </c>
      <c r="AW88" s="31" t="s">
        <v>100</v>
      </c>
      <c r="AX88" s="42">
        <v>16000</v>
      </c>
      <c r="AY88" s="43" t="s">
        <v>100</v>
      </c>
      <c r="AZ88" s="43" t="s">
        <v>270</v>
      </c>
      <c r="BA88" s="32" t="s">
        <v>94</v>
      </c>
      <c r="BB88" s="32">
        <v>500</v>
      </c>
      <c r="BC88" s="44" t="s">
        <v>102</v>
      </c>
      <c r="BD88" s="33" t="s">
        <v>103</v>
      </c>
      <c r="BE88" s="271" t="s">
        <v>104</v>
      </c>
      <c r="BF88" s="271" t="s">
        <v>105</v>
      </c>
      <c r="BG88" s="269">
        <v>0</v>
      </c>
      <c r="BH88" s="42">
        <v>30000</v>
      </c>
      <c r="BI88" s="47" t="s">
        <v>100</v>
      </c>
      <c r="BJ88" s="32" t="s">
        <v>309</v>
      </c>
      <c r="BK88" s="32">
        <v>500</v>
      </c>
      <c r="BL88" s="26" t="s">
        <v>106</v>
      </c>
      <c r="BM88" s="26" t="s">
        <v>107</v>
      </c>
      <c r="BN88" s="209">
        <v>0</v>
      </c>
      <c r="BO88" s="26" t="s">
        <v>108</v>
      </c>
      <c r="BP88" s="34" t="s">
        <v>109</v>
      </c>
      <c r="BQ88" s="209">
        <v>4000</v>
      </c>
      <c r="BR88" s="26" t="s">
        <v>108</v>
      </c>
      <c r="BS88" s="34" t="s">
        <v>110</v>
      </c>
      <c r="BT88" s="209">
        <v>5500</v>
      </c>
      <c r="BU88" s="211">
        <v>11000</v>
      </c>
      <c r="BV88" s="212" t="s">
        <v>100</v>
      </c>
      <c r="BW88" s="212" t="s">
        <v>286</v>
      </c>
      <c r="BX88" s="213" t="s">
        <v>100</v>
      </c>
      <c r="BY88" s="213" t="s">
        <v>100</v>
      </c>
      <c r="BZ88" s="45">
        <v>2000</v>
      </c>
    </row>
    <row r="89" spans="3:78" ht="25.5">
      <c r="C89" s="1"/>
      <c r="D89" s="296"/>
      <c r="E89" s="305"/>
      <c r="F89" s="308"/>
      <c r="G89" s="74">
        <v>790</v>
      </c>
      <c r="H89" s="62">
        <v>630</v>
      </c>
      <c r="I89" s="62">
        <v>10000</v>
      </c>
      <c r="J89" s="62">
        <v>10000</v>
      </c>
      <c r="K89" s="62">
        <v>50</v>
      </c>
      <c r="L89" s="62">
        <v>47</v>
      </c>
      <c r="M89" s="84" t="s">
        <v>254</v>
      </c>
      <c r="N89" s="197">
        <f>N65+14231</f>
        <v>270385</v>
      </c>
      <c r="O89" s="62" t="s">
        <v>89</v>
      </c>
      <c r="P89" s="62">
        <v>9</v>
      </c>
      <c r="Q89" s="64" t="s">
        <v>90</v>
      </c>
      <c r="R89" s="64" t="s">
        <v>91</v>
      </c>
      <c r="S89" s="64" t="s">
        <v>91</v>
      </c>
      <c r="T89" s="65" t="s">
        <v>92</v>
      </c>
      <c r="U89" s="65" t="s">
        <v>93</v>
      </c>
      <c r="V89" s="62" t="s">
        <v>94</v>
      </c>
      <c r="W89" s="62">
        <v>31</v>
      </c>
      <c r="X89" s="66" t="s">
        <v>95</v>
      </c>
      <c r="Y89" s="66" t="s">
        <v>96</v>
      </c>
      <c r="Z89" s="87">
        <v>18000</v>
      </c>
      <c r="AA89" s="84" t="s">
        <v>188</v>
      </c>
      <c r="AB89" s="87">
        <v>6330</v>
      </c>
      <c r="AC89" s="62" t="s">
        <v>97</v>
      </c>
      <c r="AD89" s="75" t="s">
        <v>97</v>
      </c>
      <c r="AE89" s="35"/>
      <c r="AF89" s="37">
        <f>AF65+14231</f>
        <v>251422</v>
      </c>
      <c r="AG89" s="29" t="s">
        <v>98</v>
      </c>
      <c r="AH89" s="226">
        <v>20492</v>
      </c>
      <c r="AI89" s="243" t="s">
        <v>317</v>
      </c>
      <c r="AJ89" s="39">
        <v>18000</v>
      </c>
      <c r="AK89" s="39" t="s">
        <v>188</v>
      </c>
      <c r="AL89" s="39">
        <v>6390</v>
      </c>
      <c r="AM89" s="30" t="s">
        <v>99</v>
      </c>
      <c r="AN89" s="40">
        <v>72050</v>
      </c>
      <c r="AO89" s="41" t="s">
        <v>303</v>
      </c>
      <c r="AP89" s="41" t="s">
        <v>306</v>
      </c>
      <c r="AQ89" s="27">
        <v>3000</v>
      </c>
      <c r="AR89" s="27" t="s">
        <v>94</v>
      </c>
      <c r="AS89" s="27">
        <v>900</v>
      </c>
      <c r="AT89" s="29">
        <v>41</v>
      </c>
      <c r="AU89" s="29" t="s">
        <v>100</v>
      </c>
      <c r="AV89" s="31">
        <v>42</v>
      </c>
      <c r="AW89" s="31" t="s">
        <v>100</v>
      </c>
      <c r="AX89" s="42">
        <v>16000</v>
      </c>
      <c r="AY89" s="43" t="s">
        <v>100</v>
      </c>
      <c r="AZ89" s="43" t="s">
        <v>270</v>
      </c>
      <c r="BA89" s="32" t="s">
        <v>94</v>
      </c>
      <c r="BB89" s="32">
        <v>500</v>
      </c>
      <c r="BC89" s="44" t="s">
        <v>102</v>
      </c>
      <c r="BD89" s="33" t="s">
        <v>103</v>
      </c>
      <c r="BE89" s="271" t="s">
        <v>104</v>
      </c>
      <c r="BF89" s="271" t="s">
        <v>105</v>
      </c>
      <c r="BG89" s="269">
        <v>0</v>
      </c>
      <c r="BH89" s="42">
        <v>30000</v>
      </c>
      <c r="BI89" s="47" t="s">
        <v>100</v>
      </c>
      <c r="BJ89" s="32" t="s">
        <v>309</v>
      </c>
      <c r="BK89" s="32">
        <v>500</v>
      </c>
      <c r="BL89" s="26" t="s">
        <v>106</v>
      </c>
      <c r="BM89" s="26" t="s">
        <v>107</v>
      </c>
      <c r="BN89" s="209">
        <v>0</v>
      </c>
      <c r="BO89" s="26" t="s">
        <v>108</v>
      </c>
      <c r="BP89" s="34" t="s">
        <v>109</v>
      </c>
      <c r="BQ89" s="209">
        <v>4000</v>
      </c>
      <c r="BR89" s="26" t="s">
        <v>108</v>
      </c>
      <c r="BS89" s="34" t="s">
        <v>110</v>
      </c>
      <c r="BT89" s="209">
        <v>5500</v>
      </c>
      <c r="BU89" s="211">
        <v>11000</v>
      </c>
      <c r="BV89" s="212" t="s">
        <v>100</v>
      </c>
      <c r="BW89" s="212" t="s">
        <v>286</v>
      </c>
      <c r="BX89" s="213" t="s">
        <v>100</v>
      </c>
      <c r="BY89" s="213" t="s">
        <v>100</v>
      </c>
      <c r="BZ89" s="45">
        <v>2000</v>
      </c>
    </row>
    <row r="90" spans="3:78" ht="25.5">
      <c r="C90" s="1"/>
      <c r="D90" s="296"/>
      <c r="E90" s="305"/>
      <c r="F90" s="308"/>
      <c r="G90" s="74">
        <v>890</v>
      </c>
      <c r="H90" s="62">
        <v>710</v>
      </c>
      <c r="I90" s="62">
        <v>10000</v>
      </c>
      <c r="J90" s="62">
        <v>10000</v>
      </c>
      <c r="K90" s="62">
        <v>50</v>
      </c>
      <c r="L90" s="62">
        <v>53</v>
      </c>
      <c r="M90" s="84" t="s">
        <v>254</v>
      </c>
      <c r="N90" s="197">
        <f>N66+14453</f>
        <v>274893</v>
      </c>
      <c r="O90" s="62" t="s">
        <v>89</v>
      </c>
      <c r="P90" s="62">
        <v>9</v>
      </c>
      <c r="Q90" s="64" t="s">
        <v>90</v>
      </c>
      <c r="R90" s="64" t="s">
        <v>91</v>
      </c>
      <c r="S90" s="64" t="s">
        <v>91</v>
      </c>
      <c r="T90" s="65" t="s">
        <v>92</v>
      </c>
      <c r="U90" s="65" t="s">
        <v>93</v>
      </c>
      <c r="V90" s="62" t="s">
        <v>94</v>
      </c>
      <c r="W90" s="62">
        <v>31</v>
      </c>
      <c r="X90" s="66" t="s">
        <v>95</v>
      </c>
      <c r="Y90" s="66" t="s">
        <v>96</v>
      </c>
      <c r="Z90" s="87">
        <v>18000</v>
      </c>
      <c r="AA90" s="84" t="s">
        <v>188</v>
      </c>
      <c r="AB90" s="87">
        <v>6330</v>
      </c>
      <c r="AC90" s="62" t="s">
        <v>97</v>
      </c>
      <c r="AD90" s="75" t="s">
        <v>97</v>
      </c>
      <c r="AE90" s="35"/>
      <c r="AF90" s="37">
        <f>AF66+14453</f>
        <v>255335</v>
      </c>
      <c r="AG90" s="29" t="s">
        <v>98</v>
      </c>
      <c r="AH90" s="226">
        <v>20835</v>
      </c>
      <c r="AI90" s="243" t="s">
        <v>317</v>
      </c>
      <c r="AJ90" s="39">
        <v>18000</v>
      </c>
      <c r="AK90" s="39" t="s">
        <v>188</v>
      </c>
      <c r="AL90" s="39">
        <v>6390</v>
      </c>
      <c r="AM90" s="30" t="s">
        <v>99</v>
      </c>
      <c r="AN90" s="40">
        <v>72050</v>
      </c>
      <c r="AO90" s="41" t="s">
        <v>303</v>
      </c>
      <c r="AP90" s="41" t="s">
        <v>306</v>
      </c>
      <c r="AQ90" s="27">
        <v>3000</v>
      </c>
      <c r="AR90" s="27" t="s">
        <v>94</v>
      </c>
      <c r="AS90" s="27">
        <v>900</v>
      </c>
      <c r="AT90" s="29">
        <v>41</v>
      </c>
      <c r="AU90" s="29" t="s">
        <v>100</v>
      </c>
      <c r="AV90" s="31">
        <v>42</v>
      </c>
      <c r="AW90" s="31" t="s">
        <v>100</v>
      </c>
      <c r="AX90" s="42">
        <v>16000</v>
      </c>
      <c r="AY90" s="43" t="s">
        <v>100</v>
      </c>
      <c r="AZ90" s="43" t="s">
        <v>270</v>
      </c>
      <c r="BA90" s="32" t="s">
        <v>94</v>
      </c>
      <c r="BB90" s="32">
        <v>500</v>
      </c>
      <c r="BC90" s="44" t="s">
        <v>102</v>
      </c>
      <c r="BD90" s="33" t="s">
        <v>103</v>
      </c>
      <c r="BE90" s="271" t="s">
        <v>104</v>
      </c>
      <c r="BF90" s="271" t="s">
        <v>105</v>
      </c>
      <c r="BG90" s="269">
        <v>0</v>
      </c>
      <c r="BH90" s="42">
        <v>30000</v>
      </c>
      <c r="BI90" s="47" t="s">
        <v>100</v>
      </c>
      <c r="BJ90" s="32" t="s">
        <v>309</v>
      </c>
      <c r="BK90" s="32">
        <v>500</v>
      </c>
      <c r="BL90" s="26" t="s">
        <v>106</v>
      </c>
      <c r="BM90" s="26" t="s">
        <v>107</v>
      </c>
      <c r="BN90" s="209">
        <v>0</v>
      </c>
      <c r="BO90" s="26" t="s">
        <v>108</v>
      </c>
      <c r="BP90" s="34" t="s">
        <v>109</v>
      </c>
      <c r="BQ90" s="209">
        <v>4000</v>
      </c>
      <c r="BR90" s="26" t="s">
        <v>108</v>
      </c>
      <c r="BS90" s="34" t="s">
        <v>110</v>
      </c>
      <c r="BT90" s="209">
        <v>5500</v>
      </c>
      <c r="BU90" s="211">
        <v>11000</v>
      </c>
      <c r="BV90" s="212" t="s">
        <v>100</v>
      </c>
      <c r="BW90" s="212" t="s">
        <v>286</v>
      </c>
      <c r="BX90" s="213" t="s">
        <v>100</v>
      </c>
      <c r="BY90" s="213" t="s">
        <v>100</v>
      </c>
      <c r="BZ90" s="45">
        <v>2000</v>
      </c>
    </row>
    <row r="91" spans="3:78" ht="26.25" thickBot="1">
      <c r="C91" s="1"/>
      <c r="D91" s="296"/>
      <c r="E91" s="305"/>
      <c r="F91" s="308"/>
      <c r="G91" s="92">
        <v>1000</v>
      </c>
      <c r="H91" s="93">
        <v>800</v>
      </c>
      <c r="I91" s="93">
        <v>10000</v>
      </c>
      <c r="J91" s="93">
        <v>10000</v>
      </c>
      <c r="K91" s="93">
        <v>50</v>
      </c>
      <c r="L91" s="93">
        <v>58</v>
      </c>
      <c r="M91" s="94" t="s">
        <v>254</v>
      </c>
      <c r="N91" s="200">
        <f>N67+15527</f>
        <v>294377</v>
      </c>
      <c r="O91" s="93" t="s">
        <v>89</v>
      </c>
      <c r="P91" s="93">
        <v>9</v>
      </c>
      <c r="Q91" s="96" t="s">
        <v>90</v>
      </c>
      <c r="R91" s="96" t="s">
        <v>91</v>
      </c>
      <c r="S91" s="96" t="s">
        <v>91</v>
      </c>
      <c r="T91" s="97" t="s">
        <v>92</v>
      </c>
      <c r="U91" s="97" t="s">
        <v>93</v>
      </c>
      <c r="V91" s="93" t="s">
        <v>94</v>
      </c>
      <c r="W91" s="93">
        <v>31</v>
      </c>
      <c r="X91" s="98" t="s">
        <v>95</v>
      </c>
      <c r="Y91" s="98" t="s">
        <v>96</v>
      </c>
      <c r="Z91" s="99">
        <v>18000</v>
      </c>
      <c r="AA91" s="94" t="s">
        <v>188</v>
      </c>
      <c r="AB91" s="99">
        <v>6330</v>
      </c>
      <c r="AC91" s="93" t="s">
        <v>97</v>
      </c>
      <c r="AD91" s="100" t="s">
        <v>97</v>
      </c>
      <c r="AE91" s="35"/>
      <c r="AF91" s="37">
        <f>AF67+15527</f>
        <v>274309</v>
      </c>
      <c r="AG91" s="29" t="s">
        <v>98</v>
      </c>
      <c r="AH91" s="218">
        <v>22308</v>
      </c>
      <c r="AI91" s="244" t="s">
        <v>317</v>
      </c>
      <c r="AJ91" s="220">
        <v>18000</v>
      </c>
      <c r="AK91" s="220" t="s">
        <v>188</v>
      </c>
      <c r="AL91" s="220">
        <v>6390</v>
      </c>
      <c r="AM91" s="221" t="s">
        <v>99</v>
      </c>
      <c r="AN91" s="40">
        <v>72050</v>
      </c>
      <c r="AO91" s="41" t="s">
        <v>303</v>
      </c>
      <c r="AP91" s="41" t="s">
        <v>306</v>
      </c>
      <c r="AQ91" s="27">
        <v>3000</v>
      </c>
      <c r="AR91" s="27" t="s">
        <v>94</v>
      </c>
      <c r="AS91" s="27">
        <v>900</v>
      </c>
      <c r="AT91" s="29">
        <v>41</v>
      </c>
      <c r="AU91" s="29" t="s">
        <v>100</v>
      </c>
      <c r="AV91" s="31">
        <v>42</v>
      </c>
      <c r="AW91" s="31" t="s">
        <v>100</v>
      </c>
      <c r="AX91" s="42">
        <v>16000</v>
      </c>
      <c r="AY91" s="43" t="s">
        <v>100</v>
      </c>
      <c r="AZ91" s="43" t="s">
        <v>270</v>
      </c>
      <c r="BA91" s="32" t="s">
        <v>94</v>
      </c>
      <c r="BB91" s="32">
        <v>500</v>
      </c>
      <c r="BC91" s="44" t="s">
        <v>102</v>
      </c>
      <c r="BD91" s="33" t="s">
        <v>103</v>
      </c>
      <c r="BE91" s="271" t="s">
        <v>104</v>
      </c>
      <c r="BF91" s="271" t="s">
        <v>105</v>
      </c>
      <c r="BG91" s="269">
        <v>0</v>
      </c>
      <c r="BH91" s="42">
        <v>30000</v>
      </c>
      <c r="BI91" s="47" t="s">
        <v>100</v>
      </c>
      <c r="BJ91" s="32" t="s">
        <v>309</v>
      </c>
      <c r="BK91" s="32">
        <v>500</v>
      </c>
      <c r="BL91" s="26" t="s">
        <v>106</v>
      </c>
      <c r="BM91" s="26" t="s">
        <v>107</v>
      </c>
      <c r="BN91" s="209">
        <v>0</v>
      </c>
      <c r="BO91" s="26" t="s">
        <v>108</v>
      </c>
      <c r="BP91" s="34" t="s">
        <v>109</v>
      </c>
      <c r="BQ91" s="209">
        <v>4000</v>
      </c>
      <c r="BR91" s="26" t="s">
        <v>108</v>
      </c>
      <c r="BS91" s="34" t="s">
        <v>110</v>
      </c>
      <c r="BT91" s="209">
        <v>5500</v>
      </c>
      <c r="BU91" s="211">
        <v>11000</v>
      </c>
      <c r="BV91" s="212" t="s">
        <v>100</v>
      </c>
      <c r="BW91" s="212" t="s">
        <v>286</v>
      </c>
      <c r="BX91" s="213" t="s">
        <v>100</v>
      </c>
      <c r="BY91" s="213" t="s">
        <v>100</v>
      </c>
      <c r="BZ91" s="45">
        <v>2000</v>
      </c>
    </row>
    <row r="92" spans="3:78" ht="25.5">
      <c r="C92" s="1"/>
      <c r="D92" s="296"/>
      <c r="E92" s="305"/>
      <c r="F92" s="308"/>
      <c r="G92" s="67">
        <v>1125</v>
      </c>
      <c r="H92" s="68">
        <v>900</v>
      </c>
      <c r="I92" s="68">
        <v>10000</v>
      </c>
      <c r="J92" s="68">
        <v>10000</v>
      </c>
      <c r="K92" s="68">
        <v>50</v>
      </c>
      <c r="L92" s="68">
        <v>66</v>
      </c>
      <c r="M92" s="103" t="s">
        <v>255</v>
      </c>
      <c r="N92" s="196">
        <f>N68+15904</f>
        <v>304138</v>
      </c>
      <c r="O92" s="68" t="s">
        <v>89</v>
      </c>
      <c r="P92" s="68">
        <v>9</v>
      </c>
      <c r="Q92" s="70" t="s">
        <v>90</v>
      </c>
      <c r="R92" s="70" t="s">
        <v>91</v>
      </c>
      <c r="S92" s="70" t="s">
        <v>91</v>
      </c>
      <c r="T92" s="71" t="s">
        <v>92</v>
      </c>
      <c r="U92" s="71" t="s">
        <v>93</v>
      </c>
      <c r="V92" s="68" t="s">
        <v>94</v>
      </c>
      <c r="W92" s="68">
        <v>31</v>
      </c>
      <c r="X92" s="72" t="s">
        <v>95</v>
      </c>
      <c r="Y92" s="72" t="s">
        <v>96</v>
      </c>
      <c r="Z92" s="104">
        <v>21000</v>
      </c>
      <c r="AA92" s="103" t="s">
        <v>189</v>
      </c>
      <c r="AB92" s="104">
        <v>8000</v>
      </c>
      <c r="AC92" s="68" t="s">
        <v>97</v>
      </c>
      <c r="AD92" s="73" t="s">
        <v>97</v>
      </c>
      <c r="AE92" s="35"/>
      <c r="AF92" s="37">
        <f>AF68+15904</f>
        <v>280968</v>
      </c>
      <c r="AG92" s="29" t="s">
        <v>98</v>
      </c>
      <c r="AH92" s="222">
        <v>23059</v>
      </c>
      <c r="AI92" s="245" t="s">
        <v>318</v>
      </c>
      <c r="AJ92" s="224">
        <v>21000</v>
      </c>
      <c r="AK92" s="224" t="s">
        <v>189</v>
      </c>
      <c r="AL92" s="224">
        <v>8010</v>
      </c>
      <c r="AM92" s="225" t="s">
        <v>99</v>
      </c>
      <c r="AN92" s="40">
        <v>72050</v>
      </c>
      <c r="AO92" s="41" t="s">
        <v>303</v>
      </c>
      <c r="AP92" s="41" t="s">
        <v>306</v>
      </c>
      <c r="AQ92" s="27">
        <v>3000</v>
      </c>
      <c r="AR92" s="27" t="s">
        <v>94</v>
      </c>
      <c r="AS92" s="27">
        <v>900</v>
      </c>
      <c r="AT92" s="29">
        <v>41</v>
      </c>
      <c r="AU92" s="29" t="s">
        <v>100</v>
      </c>
      <c r="AV92" s="31">
        <v>42</v>
      </c>
      <c r="AW92" s="31" t="s">
        <v>100</v>
      </c>
      <c r="AX92" s="42">
        <v>16000</v>
      </c>
      <c r="AY92" s="43" t="s">
        <v>100</v>
      </c>
      <c r="AZ92" s="43" t="s">
        <v>270</v>
      </c>
      <c r="BA92" s="32" t="s">
        <v>94</v>
      </c>
      <c r="BB92" s="32">
        <v>500</v>
      </c>
      <c r="BC92" s="44" t="s">
        <v>102</v>
      </c>
      <c r="BD92" s="33" t="s">
        <v>103</v>
      </c>
      <c r="BE92" s="271" t="s">
        <v>104</v>
      </c>
      <c r="BF92" s="271" t="s">
        <v>105</v>
      </c>
      <c r="BG92" s="269">
        <v>0</v>
      </c>
      <c r="BH92" s="42">
        <v>30000</v>
      </c>
      <c r="BI92" s="47" t="s">
        <v>100</v>
      </c>
      <c r="BJ92" s="32" t="s">
        <v>309</v>
      </c>
      <c r="BK92" s="32">
        <v>500</v>
      </c>
      <c r="BL92" s="26" t="s">
        <v>106</v>
      </c>
      <c r="BM92" s="26" t="s">
        <v>107</v>
      </c>
      <c r="BN92" s="209">
        <v>0</v>
      </c>
      <c r="BO92" s="26" t="s">
        <v>108</v>
      </c>
      <c r="BP92" s="34" t="s">
        <v>109</v>
      </c>
      <c r="BQ92" s="209">
        <v>4000</v>
      </c>
      <c r="BR92" s="26" t="s">
        <v>108</v>
      </c>
      <c r="BS92" s="34" t="s">
        <v>110</v>
      </c>
      <c r="BT92" s="209">
        <v>5500</v>
      </c>
      <c r="BU92" s="211">
        <v>11000</v>
      </c>
      <c r="BV92" s="212" t="s">
        <v>100</v>
      </c>
      <c r="BW92" s="212" t="s">
        <v>286</v>
      </c>
      <c r="BX92" s="213" t="s">
        <v>100</v>
      </c>
      <c r="BY92" s="213" t="s">
        <v>100</v>
      </c>
      <c r="BZ92" s="45">
        <v>2000</v>
      </c>
    </row>
    <row r="93" spans="3:78" ht="25.5">
      <c r="C93" s="1"/>
      <c r="D93" s="296"/>
      <c r="E93" s="305"/>
      <c r="F93" s="308"/>
      <c r="G93" s="74">
        <v>1250</v>
      </c>
      <c r="H93" s="62">
        <v>1000</v>
      </c>
      <c r="I93" s="62">
        <v>10000</v>
      </c>
      <c r="J93" s="62">
        <v>10000</v>
      </c>
      <c r="K93" s="62">
        <v>50</v>
      </c>
      <c r="L93" s="62">
        <v>73</v>
      </c>
      <c r="M93" s="101" t="s">
        <v>255</v>
      </c>
      <c r="N93" s="197">
        <f>N69+16203</f>
        <v>312694</v>
      </c>
      <c r="O93" s="62" t="s">
        <v>89</v>
      </c>
      <c r="P93" s="62">
        <v>9</v>
      </c>
      <c r="Q93" s="64" t="s">
        <v>90</v>
      </c>
      <c r="R93" s="64" t="s">
        <v>91</v>
      </c>
      <c r="S93" s="64" t="s">
        <v>91</v>
      </c>
      <c r="T93" s="65" t="s">
        <v>92</v>
      </c>
      <c r="U93" s="65" t="s">
        <v>93</v>
      </c>
      <c r="V93" s="62" t="s">
        <v>94</v>
      </c>
      <c r="W93" s="62">
        <v>31</v>
      </c>
      <c r="X93" s="66" t="s">
        <v>95</v>
      </c>
      <c r="Y93" s="66" t="s">
        <v>96</v>
      </c>
      <c r="Z93" s="102">
        <v>21000</v>
      </c>
      <c r="AA93" s="101" t="s">
        <v>189</v>
      </c>
      <c r="AB93" s="102">
        <v>8000</v>
      </c>
      <c r="AC93" s="62" t="s">
        <v>97</v>
      </c>
      <c r="AD93" s="75" t="s">
        <v>97</v>
      </c>
      <c r="AE93" s="35"/>
      <c r="AF93" s="37">
        <f>AF69+16203</f>
        <v>286257</v>
      </c>
      <c r="AG93" s="29" t="s">
        <v>98</v>
      </c>
      <c r="AH93" s="226">
        <v>23719</v>
      </c>
      <c r="AI93" s="243" t="s">
        <v>318</v>
      </c>
      <c r="AJ93" s="39">
        <v>21000</v>
      </c>
      <c r="AK93" s="39" t="s">
        <v>189</v>
      </c>
      <c r="AL93" s="39">
        <v>8010</v>
      </c>
      <c r="AM93" s="30" t="s">
        <v>99</v>
      </c>
      <c r="AN93" s="40">
        <v>72050</v>
      </c>
      <c r="AO93" s="41" t="s">
        <v>303</v>
      </c>
      <c r="AP93" s="41" t="s">
        <v>306</v>
      </c>
      <c r="AQ93" s="27">
        <v>3000</v>
      </c>
      <c r="AR93" s="27" t="s">
        <v>94</v>
      </c>
      <c r="AS93" s="27">
        <v>900</v>
      </c>
      <c r="AT93" s="29">
        <v>41</v>
      </c>
      <c r="AU93" s="29" t="s">
        <v>100</v>
      </c>
      <c r="AV93" s="31">
        <v>42</v>
      </c>
      <c r="AW93" s="31" t="s">
        <v>100</v>
      </c>
      <c r="AX93" s="42">
        <v>16000</v>
      </c>
      <c r="AY93" s="43" t="s">
        <v>100</v>
      </c>
      <c r="AZ93" s="43" t="s">
        <v>270</v>
      </c>
      <c r="BA93" s="32" t="s">
        <v>94</v>
      </c>
      <c r="BB93" s="32">
        <v>500</v>
      </c>
      <c r="BC93" s="44" t="s">
        <v>102</v>
      </c>
      <c r="BD93" s="33" t="s">
        <v>103</v>
      </c>
      <c r="BE93" s="271" t="s">
        <v>104</v>
      </c>
      <c r="BF93" s="271" t="s">
        <v>105</v>
      </c>
      <c r="BG93" s="269">
        <v>0</v>
      </c>
      <c r="BH93" s="42">
        <v>30000</v>
      </c>
      <c r="BI93" s="47" t="s">
        <v>100</v>
      </c>
      <c r="BJ93" s="32" t="s">
        <v>309</v>
      </c>
      <c r="BK93" s="32">
        <v>500</v>
      </c>
      <c r="BL93" s="26" t="s">
        <v>106</v>
      </c>
      <c r="BM93" s="26" t="s">
        <v>107</v>
      </c>
      <c r="BN93" s="209">
        <v>0</v>
      </c>
      <c r="BO93" s="26" t="s">
        <v>108</v>
      </c>
      <c r="BP93" s="34" t="s">
        <v>109</v>
      </c>
      <c r="BQ93" s="209">
        <v>4000</v>
      </c>
      <c r="BR93" s="26" t="s">
        <v>108</v>
      </c>
      <c r="BS93" s="34" t="s">
        <v>110</v>
      </c>
      <c r="BT93" s="209">
        <v>5500</v>
      </c>
      <c r="BU93" s="211">
        <v>11000</v>
      </c>
      <c r="BV93" s="212" t="s">
        <v>100</v>
      </c>
      <c r="BW93" s="212" t="s">
        <v>286</v>
      </c>
      <c r="BX93" s="213" t="s">
        <v>100</v>
      </c>
      <c r="BY93" s="213" t="s">
        <v>100</v>
      </c>
      <c r="BZ93" s="45">
        <v>2000</v>
      </c>
    </row>
    <row r="94" spans="3:78" ht="25.5">
      <c r="C94" s="1"/>
      <c r="D94" s="296"/>
      <c r="E94" s="305"/>
      <c r="F94" s="308"/>
      <c r="G94" s="74">
        <v>1400</v>
      </c>
      <c r="H94" s="62">
        <v>1120</v>
      </c>
      <c r="I94" s="62">
        <v>10000</v>
      </c>
      <c r="J94" s="62">
        <v>10000</v>
      </c>
      <c r="K94" s="62">
        <v>50</v>
      </c>
      <c r="L94" s="62">
        <v>82</v>
      </c>
      <c r="M94" s="101" t="s">
        <v>255</v>
      </c>
      <c r="N94" s="197">
        <f>N70+17378</f>
        <v>337096</v>
      </c>
      <c r="O94" s="62" t="s">
        <v>89</v>
      </c>
      <c r="P94" s="62">
        <v>9</v>
      </c>
      <c r="Q94" s="64" t="s">
        <v>90</v>
      </c>
      <c r="R94" s="64" t="s">
        <v>91</v>
      </c>
      <c r="S94" s="64" t="s">
        <v>91</v>
      </c>
      <c r="T94" s="65" t="s">
        <v>92</v>
      </c>
      <c r="U94" s="65" t="s">
        <v>93</v>
      </c>
      <c r="V94" s="62" t="s">
        <v>94</v>
      </c>
      <c r="W94" s="62">
        <v>31</v>
      </c>
      <c r="X94" s="66" t="s">
        <v>95</v>
      </c>
      <c r="Y94" s="66" t="s">
        <v>96</v>
      </c>
      <c r="Z94" s="102">
        <v>21000</v>
      </c>
      <c r="AA94" s="101" t="s">
        <v>189</v>
      </c>
      <c r="AB94" s="102">
        <v>8000</v>
      </c>
      <c r="AC94" s="62" t="s">
        <v>97</v>
      </c>
      <c r="AD94" s="75" t="s">
        <v>97</v>
      </c>
      <c r="AE94" s="35"/>
      <c r="AF94" s="37">
        <f>AF70+17378</f>
        <v>307019</v>
      </c>
      <c r="AG94" s="29" t="s">
        <v>98</v>
      </c>
      <c r="AH94" s="226">
        <v>25577</v>
      </c>
      <c r="AI94" s="243" t="s">
        <v>318</v>
      </c>
      <c r="AJ94" s="39">
        <v>21000</v>
      </c>
      <c r="AK94" s="39" t="s">
        <v>189</v>
      </c>
      <c r="AL94" s="39">
        <v>8010</v>
      </c>
      <c r="AM94" s="30" t="s">
        <v>99</v>
      </c>
      <c r="AN94" s="40">
        <v>72050</v>
      </c>
      <c r="AO94" s="41" t="s">
        <v>303</v>
      </c>
      <c r="AP94" s="41" t="s">
        <v>306</v>
      </c>
      <c r="AQ94" s="27">
        <v>3000</v>
      </c>
      <c r="AR94" s="27" t="s">
        <v>94</v>
      </c>
      <c r="AS94" s="27">
        <v>900</v>
      </c>
      <c r="AT94" s="29">
        <v>41</v>
      </c>
      <c r="AU94" s="29" t="s">
        <v>100</v>
      </c>
      <c r="AV94" s="31">
        <v>42</v>
      </c>
      <c r="AW94" s="31" t="s">
        <v>100</v>
      </c>
      <c r="AX94" s="42">
        <v>16000</v>
      </c>
      <c r="AY94" s="43" t="s">
        <v>100</v>
      </c>
      <c r="AZ94" s="43" t="s">
        <v>270</v>
      </c>
      <c r="BA94" s="32" t="s">
        <v>94</v>
      </c>
      <c r="BB94" s="32">
        <v>500</v>
      </c>
      <c r="BC94" s="44" t="s">
        <v>102</v>
      </c>
      <c r="BD94" s="33" t="s">
        <v>103</v>
      </c>
      <c r="BE94" s="271" t="s">
        <v>104</v>
      </c>
      <c r="BF94" s="271" t="s">
        <v>105</v>
      </c>
      <c r="BG94" s="269">
        <v>0</v>
      </c>
      <c r="BH94" s="42">
        <v>33000</v>
      </c>
      <c r="BI94" s="47" t="s">
        <v>100</v>
      </c>
      <c r="BJ94" s="32" t="s">
        <v>101</v>
      </c>
      <c r="BK94" s="32" t="s">
        <v>100</v>
      </c>
      <c r="BL94" s="26" t="s">
        <v>106</v>
      </c>
      <c r="BM94" s="26" t="s">
        <v>107</v>
      </c>
      <c r="BN94" s="209">
        <v>0</v>
      </c>
      <c r="BO94" s="26" t="s">
        <v>108</v>
      </c>
      <c r="BP94" s="34" t="s">
        <v>109</v>
      </c>
      <c r="BQ94" s="209">
        <v>4000</v>
      </c>
      <c r="BR94" s="26" t="s">
        <v>108</v>
      </c>
      <c r="BS94" s="34" t="s">
        <v>110</v>
      </c>
      <c r="BT94" s="209">
        <v>5500</v>
      </c>
      <c r="BU94" s="211">
        <v>11000</v>
      </c>
      <c r="BV94" s="212" t="s">
        <v>100</v>
      </c>
      <c r="BW94" s="212" t="s">
        <v>286</v>
      </c>
      <c r="BX94" s="213" t="s">
        <v>100</v>
      </c>
      <c r="BY94" s="213" t="s">
        <v>100</v>
      </c>
      <c r="BZ94" s="45">
        <v>2000</v>
      </c>
    </row>
    <row r="95" spans="3:78" ht="25.5">
      <c r="C95" s="1"/>
      <c r="D95" s="296"/>
      <c r="E95" s="305"/>
      <c r="F95" s="308"/>
      <c r="G95" s="74">
        <v>1565</v>
      </c>
      <c r="H95" s="62">
        <v>1250</v>
      </c>
      <c r="I95" s="62">
        <v>10000</v>
      </c>
      <c r="J95" s="62">
        <v>10000</v>
      </c>
      <c r="K95" s="62">
        <v>50</v>
      </c>
      <c r="L95" s="62">
        <v>91</v>
      </c>
      <c r="M95" s="101" t="s">
        <v>255</v>
      </c>
      <c r="N95" s="197">
        <f>N71+17828</f>
        <v>343707</v>
      </c>
      <c r="O95" s="62" t="s">
        <v>89</v>
      </c>
      <c r="P95" s="62">
        <v>9</v>
      </c>
      <c r="Q95" s="64" t="s">
        <v>90</v>
      </c>
      <c r="R95" s="64" t="s">
        <v>91</v>
      </c>
      <c r="S95" s="64" t="s">
        <v>91</v>
      </c>
      <c r="T95" s="65" t="s">
        <v>92</v>
      </c>
      <c r="U95" s="65" t="s">
        <v>93</v>
      </c>
      <c r="V95" s="62" t="s">
        <v>94</v>
      </c>
      <c r="W95" s="62">
        <v>31</v>
      </c>
      <c r="X95" s="66" t="s">
        <v>95</v>
      </c>
      <c r="Y95" s="66" t="s">
        <v>96</v>
      </c>
      <c r="Z95" s="102">
        <v>21000</v>
      </c>
      <c r="AA95" s="101" t="s">
        <v>189</v>
      </c>
      <c r="AB95" s="102">
        <v>8000</v>
      </c>
      <c r="AC95" s="62" t="s">
        <v>97</v>
      </c>
      <c r="AD95" s="75" t="s">
        <v>97</v>
      </c>
      <c r="AE95" s="35"/>
      <c r="AF95" s="37">
        <f>AF71+17828</f>
        <v>314965</v>
      </c>
      <c r="AG95" s="29" t="s">
        <v>98</v>
      </c>
      <c r="AH95" s="226">
        <v>26070</v>
      </c>
      <c r="AI95" s="243" t="s">
        <v>318</v>
      </c>
      <c r="AJ95" s="39">
        <v>21000</v>
      </c>
      <c r="AK95" s="39" t="s">
        <v>189</v>
      </c>
      <c r="AL95" s="39">
        <v>8010</v>
      </c>
      <c r="AM95" s="30" t="s">
        <v>99</v>
      </c>
      <c r="AN95" s="40">
        <v>72050</v>
      </c>
      <c r="AO95" s="41" t="s">
        <v>303</v>
      </c>
      <c r="AP95" s="41" t="s">
        <v>306</v>
      </c>
      <c r="AQ95" s="27">
        <v>3000</v>
      </c>
      <c r="AR95" s="27" t="s">
        <v>94</v>
      </c>
      <c r="AS95" s="27">
        <v>900</v>
      </c>
      <c r="AT95" s="29">
        <v>41</v>
      </c>
      <c r="AU95" s="29" t="s">
        <v>100</v>
      </c>
      <c r="AV95" s="31">
        <v>42</v>
      </c>
      <c r="AW95" s="31" t="s">
        <v>100</v>
      </c>
      <c r="AX95" s="42">
        <v>16000</v>
      </c>
      <c r="AY95" s="43" t="s">
        <v>100</v>
      </c>
      <c r="AZ95" s="43" t="s">
        <v>270</v>
      </c>
      <c r="BA95" s="32" t="s">
        <v>94</v>
      </c>
      <c r="BB95" s="32">
        <v>500</v>
      </c>
      <c r="BC95" s="44" t="s">
        <v>102</v>
      </c>
      <c r="BD95" s="33" t="s">
        <v>103</v>
      </c>
      <c r="BE95" s="271" t="s">
        <v>104</v>
      </c>
      <c r="BF95" s="271" t="s">
        <v>105</v>
      </c>
      <c r="BG95" s="269">
        <v>0</v>
      </c>
      <c r="BH95" s="42">
        <v>33000</v>
      </c>
      <c r="BI95" s="47" t="s">
        <v>100</v>
      </c>
      <c r="BJ95" s="32" t="s">
        <v>101</v>
      </c>
      <c r="BK95" s="32" t="s">
        <v>100</v>
      </c>
      <c r="BL95" s="26" t="s">
        <v>106</v>
      </c>
      <c r="BM95" s="26" t="s">
        <v>107</v>
      </c>
      <c r="BN95" s="209">
        <v>0</v>
      </c>
      <c r="BO95" s="26" t="s">
        <v>108</v>
      </c>
      <c r="BP95" s="34" t="s">
        <v>109</v>
      </c>
      <c r="BQ95" s="209">
        <v>4000</v>
      </c>
      <c r="BR95" s="26" t="s">
        <v>108</v>
      </c>
      <c r="BS95" s="34" t="s">
        <v>110</v>
      </c>
      <c r="BT95" s="209">
        <v>5500</v>
      </c>
      <c r="BU95" s="211">
        <v>11000</v>
      </c>
      <c r="BV95" s="212" t="s">
        <v>100</v>
      </c>
      <c r="BW95" s="212" t="s">
        <v>286</v>
      </c>
      <c r="BX95" s="213" t="s">
        <v>100</v>
      </c>
      <c r="BY95" s="213" t="s">
        <v>100</v>
      </c>
      <c r="BZ95" s="45">
        <v>2000</v>
      </c>
    </row>
    <row r="96" spans="3:78" ht="25.5">
      <c r="C96" s="1"/>
      <c r="D96" s="296"/>
      <c r="E96" s="305"/>
      <c r="F96" s="308"/>
      <c r="G96" s="74">
        <v>1750</v>
      </c>
      <c r="H96" s="62">
        <v>1400</v>
      </c>
      <c r="I96" s="62">
        <v>10000</v>
      </c>
      <c r="J96" s="62">
        <v>10000</v>
      </c>
      <c r="K96" s="62">
        <v>50</v>
      </c>
      <c r="L96" s="62">
        <v>103</v>
      </c>
      <c r="M96" s="101" t="s">
        <v>255</v>
      </c>
      <c r="N96" s="197">
        <f>N72+19585</f>
        <v>383977</v>
      </c>
      <c r="O96" s="62" t="s">
        <v>89</v>
      </c>
      <c r="P96" s="62">
        <v>9</v>
      </c>
      <c r="Q96" s="64" t="s">
        <v>90</v>
      </c>
      <c r="R96" s="64" t="s">
        <v>91</v>
      </c>
      <c r="S96" s="64" t="s">
        <v>91</v>
      </c>
      <c r="T96" s="65" t="s">
        <v>92</v>
      </c>
      <c r="U96" s="65" t="s">
        <v>93</v>
      </c>
      <c r="V96" s="62" t="s">
        <v>94</v>
      </c>
      <c r="W96" s="62">
        <v>31</v>
      </c>
      <c r="X96" s="66" t="s">
        <v>95</v>
      </c>
      <c r="Y96" s="66" t="s">
        <v>96</v>
      </c>
      <c r="Z96" s="102">
        <v>21000</v>
      </c>
      <c r="AA96" s="101" t="s">
        <v>189</v>
      </c>
      <c r="AB96" s="102">
        <v>8000</v>
      </c>
      <c r="AC96" s="62" t="s">
        <v>97</v>
      </c>
      <c r="AD96" s="75" t="s">
        <v>97</v>
      </c>
      <c r="AE96" s="35"/>
      <c r="AF96" s="37">
        <f>AF72+19585</f>
        <v>346002</v>
      </c>
      <c r="AG96" s="29" t="s">
        <v>98</v>
      </c>
      <c r="AH96" s="226">
        <v>29151</v>
      </c>
      <c r="AI96" s="243" t="s">
        <v>318</v>
      </c>
      <c r="AJ96" s="39">
        <v>21000</v>
      </c>
      <c r="AK96" s="39" t="s">
        <v>189</v>
      </c>
      <c r="AL96" s="39">
        <v>8010</v>
      </c>
      <c r="AM96" s="30" t="s">
        <v>99</v>
      </c>
      <c r="AN96" s="40">
        <v>72050</v>
      </c>
      <c r="AO96" s="41" t="s">
        <v>303</v>
      </c>
      <c r="AP96" s="41" t="s">
        <v>306</v>
      </c>
      <c r="AQ96" s="27">
        <v>3000</v>
      </c>
      <c r="AR96" s="27" t="s">
        <v>94</v>
      </c>
      <c r="AS96" s="27">
        <v>900</v>
      </c>
      <c r="AT96" s="29">
        <v>41</v>
      </c>
      <c r="AU96" s="29" t="s">
        <v>100</v>
      </c>
      <c r="AV96" s="31">
        <v>42</v>
      </c>
      <c r="AW96" s="31" t="s">
        <v>100</v>
      </c>
      <c r="AX96" s="42">
        <v>16000</v>
      </c>
      <c r="AY96" s="43" t="s">
        <v>100</v>
      </c>
      <c r="AZ96" s="43" t="s">
        <v>270</v>
      </c>
      <c r="BA96" s="32" t="s">
        <v>94</v>
      </c>
      <c r="BB96" s="32">
        <v>500</v>
      </c>
      <c r="BC96" s="44" t="s">
        <v>102</v>
      </c>
      <c r="BD96" s="33" t="s">
        <v>103</v>
      </c>
      <c r="BE96" s="271" t="s">
        <v>104</v>
      </c>
      <c r="BF96" s="271" t="s">
        <v>105</v>
      </c>
      <c r="BG96" s="269">
        <v>0</v>
      </c>
      <c r="BH96" s="42">
        <v>33000</v>
      </c>
      <c r="BI96" s="47" t="s">
        <v>100</v>
      </c>
      <c r="BJ96" s="32" t="s">
        <v>101</v>
      </c>
      <c r="BK96" s="32" t="s">
        <v>100</v>
      </c>
      <c r="BL96" s="26" t="s">
        <v>106</v>
      </c>
      <c r="BM96" s="26" t="s">
        <v>107</v>
      </c>
      <c r="BN96" s="209">
        <v>0</v>
      </c>
      <c r="BO96" s="26" t="s">
        <v>108</v>
      </c>
      <c r="BP96" s="34" t="s">
        <v>109</v>
      </c>
      <c r="BQ96" s="209">
        <v>4000</v>
      </c>
      <c r="BR96" s="26" t="s">
        <v>108</v>
      </c>
      <c r="BS96" s="34" t="s">
        <v>110</v>
      </c>
      <c r="BT96" s="209">
        <v>5500</v>
      </c>
      <c r="BU96" s="211">
        <v>11000</v>
      </c>
      <c r="BV96" s="212" t="s">
        <v>100</v>
      </c>
      <c r="BW96" s="212" t="s">
        <v>286</v>
      </c>
      <c r="BX96" s="213" t="s">
        <v>100</v>
      </c>
      <c r="BY96" s="213" t="s">
        <v>100</v>
      </c>
      <c r="BZ96" s="45">
        <v>2000</v>
      </c>
    </row>
    <row r="97" spans="1:78" ht="26.25" thickBot="1">
      <c r="C97" s="1"/>
      <c r="D97" s="296"/>
      <c r="E97" s="305"/>
      <c r="F97" s="308"/>
      <c r="G97" s="76">
        <v>2000</v>
      </c>
      <c r="H97" s="77">
        <v>1600</v>
      </c>
      <c r="I97" s="77">
        <v>10000</v>
      </c>
      <c r="J97" s="77">
        <v>10000</v>
      </c>
      <c r="K97" s="77">
        <v>50</v>
      </c>
      <c r="L97" s="77">
        <v>115</v>
      </c>
      <c r="M97" s="136" t="s">
        <v>255</v>
      </c>
      <c r="N97" s="198">
        <f>N73+20618</f>
        <v>403886</v>
      </c>
      <c r="O97" s="77" t="s">
        <v>89</v>
      </c>
      <c r="P97" s="77">
        <v>9</v>
      </c>
      <c r="Q97" s="79" t="s">
        <v>90</v>
      </c>
      <c r="R97" s="79" t="s">
        <v>91</v>
      </c>
      <c r="S97" s="79" t="s">
        <v>91</v>
      </c>
      <c r="T97" s="80" t="s">
        <v>92</v>
      </c>
      <c r="U97" s="80" t="s">
        <v>93</v>
      </c>
      <c r="V97" s="77" t="s">
        <v>94</v>
      </c>
      <c r="W97" s="77">
        <v>31</v>
      </c>
      <c r="X97" s="81" t="s">
        <v>95</v>
      </c>
      <c r="Y97" s="81" t="s">
        <v>96</v>
      </c>
      <c r="Z97" s="170">
        <v>21000</v>
      </c>
      <c r="AA97" s="136" t="s">
        <v>189</v>
      </c>
      <c r="AB97" s="170">
        <v>8000</v>
      </c>
      <c r="AC97" s="77" t="s">
        <v>97</v>
      </c>
      <c r="AD97" s="82" t="s">
        <v>97</v>
      </c>
      <c r="AE97" s="35"/>
      <c r="AF97" s="37">
        <f>AF73+20618</f>
        <v>364246</v>
      </c>
      <c r="AG97" s="29" t="s">
        <v>98</v>
      </c>
      <c r="AH97" s="218">
        <v>30661</v>
      </c>
      <c r="AI97" s="244" t="s">
        <v>318</v>
      </c>
      <c r="AJ97" s="220">
        <v>21000</v>
      </c>
      <c r="AK97" s="220" t="s">
        <v>189</v>
      </c>
      <c r="AL97" s="220">
        <v>8010</v>
      </c>
      <c r="AM97" s="221" t="s">
        <v>99</v>
      </c>
      <c r="AN97" s="40">
        <v>79770</v>
      </c>
      <c r="AO97" s="41" t="s">
        <v>303</v>
      </c>
      <c r="AP97" s="41" t="s">
        <v>306</v>
      </c>
      <c r="AQ97" s="27">
        <v>3000</v>
      </c>
      <c r="AR97" s="27" t="s">
        <v>94</v>
      </c>
      <c r="AS97" s="27">
        <v>900</v>
      </c>
      <c r="AT97" s="29">
        <v>41</v>
      </c>
      <c r="AU97" s="29" t="s">
        <v>100</v>
      </c>
      <c r="AV97" s="31">
        <v>42</v>
      </c>
      <c r="AW97" s="31" t="s">
        <v>100</v>
      </c>
      <c r="AX97" s="42">
        <v>16000</v>
      </c>
      <c r="AY97" s="43" t="s">
        <v>100</v>
      </c>
      <c r="AZ97" s="43" t="s">
        <v>270</v>
      </c>
      <c r="BA97" s="32" t="s">
        <v>94</v>
      </c>
      <c r="BB97" s="32">
        <v>500</v>
      </c>
      <c r="BC97" s="44" t="s">
        <v>102</v>
      </c>
      <c r="BD97" s="33" t="s">
        <v>103</v>
      </c>
      <c r="BE97" s="271" t="s">
        <v>104</v>
      </c>
      <c r="BF97" s="271" t="s">
        <v>105</v>
      </c>
      <c r="BG97" s="269">
        <v>0</v>
      </c>
      <c r="BH97" s="42">
        <v>35000</v>
      </c>
      <c r="BI97" s="47" t="s">
        <v>100</v>
      </c>
      <c r="BJ97" s="32" t="s">
        <v>101</v>
      </c>
      <c r="BK97" s="32" t="s">
        <v>100</v>
      </c>
      <c r="BL97" s="26" t="s">
        <v>106</v>
      </c>
      <c r="BM97" s="26" t="s">
        <v>107</v>
      </c>
      <c r="BN97" s="209">
        <v>0</v>
      </c>
      <c r="BO97" s="26" t="s">
        <v>108</v>
      </c>
      <c r="BP97" s="34" t="s">
        <v>109</v>
      </c>
      <c r="BQ97" s="209">
        <v>4000</v>
      </c>
      <c r="BR97" s="26" t="s">
        <v>108</v>
      </c>
      <c r="BS97" s="34" t="s">
        <v>110</v>
      </c>
      <c r="BT97" s="209">
        <v>5500</v>
      </c>
      <c r="BU97" s="211">
        <v>11000</v>
      </c>
      <c r="BV97" s="212" t="s">
        <v>100</v>
      </c>
      <c r="BW97" s="212" t="s">
        <v>286</v>
      </c>
      <c r="BX97" s="213" t="s">
        <v>100</v>
      </c>
      <c r="BY97" s="213" t="s">
        <v>100</v>
      </c>
      <c r="BZ97" s="45">
        <v>2000</v>
      </c>
    </row>
    <row r="98" spans="1:78" ht="26.25" thickBot="1">
      <c r="C98" s="1"/>
      <c r="D98" s="296"/>
      <c r="E98" s="305"/>
      <c r="F98" s="308"/>
      <c r="G98" s="162">
        <v>2500</v>
      </c>
      <c r="H98" s="163">
        <v>2000</v>
      </c>
      <c r="I98" s="163">
        <v>10000</v>
      </c>
      <c r="J98" s="163">
        <v>10000</v>
      </c>
      <c r="K98" s="163">
        <v>50</v>
      </c>
      <c r="L98" s="163">
        <v>145</v>
      </c>
      <c r="M98" s="169" t="s">
        <v>256</v>
      </c>
      <c r="N98" s="201">
        <f>N74+23346</f>
        <v>444532</v>
      </c>
      <c r="O98" s="163" t="s">
        <v>89</v>
      </c>
      <c r="P98" s="163">
        <v>9</v>
      </c>
      <c r="Q98" s="165" t="s">
        <v>90</v>
      </c>
      <c r="R98" s="165" t="s">
        <v>91</v>
      </c>
      <c r="S98" s="165" t="s">
        <v>91</v>
      </c>
      <c r="T98" s="166" t="s">
        <v>92</v>
      </c>
      <c r="U98" s="166" t="s">
        <v>93</v>
      </c>
      <c r="V98" s="163" t="s">
        <v>94</v>
      </c>
      <c r="W98" s="163">
        <v>31</v>
      </c>
      <c r="X98" s="167" t="s">
        <v>95</v>
      </c>
      <c r="Y98" s="167" t="s">
        <v>96</v>
      </c>
      <c r="Z98" s="168">
        <v>24000</v>
      </c>
      <c r="AA98" s="169" t="s">
        <v>190</v>
      </c>
      <c r="AB98" s="168">
        <v>8300</v>
      </c>
      <c r="AC98" s="163" t="s">
        <v>97</v>
      </c>
      <c r="AD98" s="171" t="s">
        <v>97</v>
      </c>
      <c r="AE98" s="35"/>
      <c r="AF98" s="37">
        <f>AF74+23346</f>
        <v>412452</v>
      </c>
      <c r="AG98" s="29" t="s">
        <v>98</v>
      </c>
      <c r="AH98" s="228">
        <v>33695</v>
      </c>
      <c r="AI98" s="246" t="s">
        <v>325</v>
      </c>
      <c r="AJ98" s="230">
        <v>21000</v>
      </c>
      <c r="AK98" s="230" t="s">
        <v>196</v>
      </c>
      <c r="AL98" s="230">
        <v>9320</v>
      </c>
      <c r="AM98" s="231" t="s">
        <v>99</v>
      </c>
      <c r="AN98" s="235">
        <v>79770</v>
      </c>
      <c r="AO98" s="236" t="s">
        <v>303</v>
      </c>
      <c r="AP98" s="236" t="s">
        <v>306</v>
      </c>
      <c r="AQ98" s="237">
        <v>3000</v>
      </c>
      <c r="AR98" s="237" t="s">
        <v>94</v>
      </c>
      <c r="AS98" s="237">
        <v>900</v>
      </c>
      <c r="AT98" s="29">
        <v>41</v>
      </c>
      <c r="AU98" s="29" t="s">
        <v>100</v>
      </c>
      <c r="AV98" s="31">
        <v>42</v>
      </c>
      <c r="AW98" s="31" t="s">
        <v>100</v>
      </c>
      <c r="AX98" s="42">
        <v>16000</v>
      </c>
      <c r="AY98" s="43" t="s">
        <v>100</v>
      </c>
      <c r="AZ98" s="43" t="s">
        <v>270</v>
      </c>
      <c r="BA98" s="32" t="s">
        <v>94</v>
      </c>
      <c r="BB98" s="32">
        <v>500</v>
      </c>
      <c r="BC98" s="44" t="s">
        <v>102</v>
      </c>
      <c r="BD98" s="33" t="s">
        <v>103</v>
      </c>
      <c r="BE98" s="271" t="s">
        <v>104</v>
      </c>
      <c r="BF98" s="271" t="s">
        <v>105</v>
      </c>
      <c r="BG98" s="269">
        <v>0</v>
      </c>
      <c r="BH98" s="42">
        <v>35000</v>
      </c>
      <c r="BI98" s="47" t="s">
        <v>100</v>
      </c>
      <c r="BJ98" s="32" t="s">
        <v>101</v>
      </c>
      <c r="BK98" s="32" t="s">
        <v>100</v>
      </c>
      <c r="BL98" s="26" t="s">
        <v>106</v>
      </c>
      <c r="BM98" s="26" t="s">
        <v>107</v>
      </c>
      <c r="BN98" s="209">
        <v>0</v>
      </c>
      <c r="BO98" s="26" t="s">
        <v>108</v>
      </c>
      <c r="BP98" s="34" t="s">
        <v>109</v>
      </c>
      <c r="BQ98" s="209">
        <v>4000</v>
      </c>
      <c r="BR98" s="26" t="s">
        <v>108</v>
      </c>
      <c r="BS98" s="34" t="s">
        <v>110</v>
      </c>
      <c r="BT98" s="209">
        <v>5500</v>
      </c>
      <c r="BU98" s="211">
        <v>11000</v>
      </c>
      <c r="BV98" s="212" t="s">
        <v>100</v>
      </c>
      <c r="BW98" s="212" t="s">
        <v>286</v>
      </c>
      <c r="BX98" s="213" t="s">
        <v>100</v>
      </c>
      <c r="BY98" s="213" t="s">
        <v>100</v>
      </c>
      <c r="BZ98" s="45">
        <v>2000</v>
      </c>
    </row>
    <row r="99" spans="1:78" ht="26.25" thickBot="1">
      <c r="C99" s="1"/>
      <c r="D99" s="296"/>
      <c r="E99" s="305"/>
      <c r="F99" s="308"/>
      <c r="G99" s="149">
        <v>3125</v>
      </c>
      <c r="H99" s="150">
        <v>2500</v>
      </c>
      <c r="I99" s="150">
        <v>10000</v>
      </c>
      <c r="J99" s="150">
        <v>10000</v>
      </c>
      <c r="K99" s="150">
        <v>50</v>
      </c>
      <c r="L99" s="150">
        <v>180</v>
      </c>
      <c r="M99" s="157" t="s">
        <v>262</v>
      </c>
      <c r="N99" s="202">
        <f>N75+28232</f>
        <v>544172</v>
      </c>
      <c r="O99" s="150" t="s">
        <v>89</v>
      </c>
      <c r="P99" s="150">
        <v>9</v>
      </c>
      <c r="Q99" s="153" t="s">
        <v>90</v>
      </c>
      <c r="R99" s="153" t="s">
        <v>91</v>
      </c>
      <c r="S99" s="153" t="s">
        <v>91</v>
      </c>
      <c r="T99" s="154" t="s">
        <v>92</v>
      </c>
      <c r="U99" s="154" t="s">
        <v>93</v>
      </c>
      <c r="V99" s="150" t="s">
        <v>94</v>
      </c>
      <c r="W99" s="150">
        <v>31</v>
      </c>
      <c r="X99" s="155" t="s">
        <v>95</v>
      </c>
      <c r="Y99" s="155" t="s">
        <v>96</v>
      </c>
      <c r="Z99" s="156">
        <v>25000</v>
      </c>
      <c r="AA99" s="157" t="s">
        <v>194</v>
      </c>
      <c r="AB99" s="156">
        <v>10065</v>
      </c>
      <c r="AC99" s="150" t="s">
        <v>97</v>
      </c>
      <c r="AD99" s="158" t="s">
        <v>97</v>
      </c>
      <c r="AE99" s="35"/>
      <c r="AF99" s="37">
        <f>AF75+28232</f>
        <v>498773</v>
      </c>
      <c r="AG99" s="29" t="s">
        <v>98</v>
      </c>
      <c r="AH99" s="228">
        <v>41275</v>
      </c>
      <c r="AI99" s="246" t="s">
        <v>326</v>
      </c>
      <c r="AJ99" s="230">
        <v>31000</v>
      </c>
      <c r="AK99" s="230" t="s">
        <v>197</v>
      </c>
      <c r="AL99" s="230">
        <v>10720</v>
      </c>
      <c r="AM99" s="231" t="s">
        <v>99</v>
      </c>
      <c r="AN99" s="238">
        <v>79770</v>
      </c>
      <c r="AO99" s="239" t="s">
        <v>304</v>
      </c>
      <c r="AP99" s="239" t="s">
        <v>307</v>
      </c>
      <c r="AQ99" s="240">
        <v>3000</v>
      </c>
      <c r="AR99" s="240" t="s">
        <v>94</v>
      </c>
      <c r="AS99" s="240">
        <v>1500</v>
      </c>
      <c r="AT99" s="29">
        <v>41</v>
      </c>
      <c r="AU99" s="29" t="s">
        <v>100</v>
      </c>
      <c r="AV99" s="31">
        <v>42</v>
      </c>
      <c r="AW99" s="31" t="s">
        <v>100</v>
      </c>
      <c r="AX99" s="42">
        <v>16000</v>
      </c>
      <c r="AY99" s="43" t="s">
        <v>100</v>
      </c>
      <c r="AZ99" s="43" t="s">
        <v>270</v>
      </c>
      <c r="BA99" s="32" t="s">
        <v>94</v>
      </c>
      <c r="BB99" s="32">
        <v>500</v>
      </c>
      <c r="BC99" s="44" t="s">
        <v>102</v>
      </c>
      <c r="BD99" s="33" t="s">
        <v>103</v>
      </c>
      <c r="BE99" s="271" t="s">
        <v>104</v>
      </c>
      <c r="BF99" s="271" t="s">
        <v>105</v>
      </c>
      <c r="BG99" s="269">
        <v>0</v>
      </c>
      <c r="BH99" s="42">
        <v>35000</v>
      </c>
      <c r="BI99" s="47" t="s">
        <v>100</v>
      </c>
      <c r="BJ99" s="32" t="s">
        <v>101</v>
      </c>
      <c r="BK99" s="32" t="s">
        <v>100</v>
      </c>
      <c r="BL99" s="26" t="s">
        <v>106</v>
      </c>
      <c r="BM99" s="26" t="s">
        <v>107</v>
      </c>
      <c r="BN99" s="209">
        <v>0</v>
      </c>
      <c r="BO99" s="26" t="s">
        <v>108</v>
      </c>
      <c r="BP99" s="34" t="s">
        <v>109</v>
      </c>
      <c r="BQ99" s="209">
        <v>4000</v>
      </c>
      <c r="BR99" s="26" t="s">
        <v>108</v>
      </c>
      <c r="BS99" s="34" t="s">
        <v>110</v>
      </c>
      <c r="BT99" s="209">
        <v>5500</v>
      </c>
      <c r="BU99" s="211">
        <v>11000</v>
      </c>
      <c r="BV99" s="212" t="s">
        <v>100</v>
      </c>
      <c r="BW99" s="212" t="s">
        <v>286</v>
      </c>
      <c r="BX99" s="213" t="s">
        <v>100</v>
      </c>
      <c r="BY99" s="213" t="s">
        <v>100</v>
      </c>
      <c r="BZ99" s="45">
        <v>2000</v>
      </c>
    </row>
    <row r="100" spans="1:78" ht="26.25" thickBot="1">
      <c r="C100" s="1"/>
      <c r="D100" s="296"/>
      <c r="E100" s="305"/>
      <c r="F100" s="308"/>
      <c r="G100" s="149">
        <v>3940</v>
      </c>
      <c r="H100" s="150">
        <v>3150</v>
      </c>
      <c r="I100" s="150">
        <v>10000</v>
      </c>
      <c r="J100" s="150">
        <v>10000</v>
      </c>
      <c r="K100" s="150">
        <v>50</v>
      </c>
      <c r="L100" s="150">
        <v>230</v>
      </c>
      <c r="M100" s="151" t="s">
        <v>263</v>
      </c>
      <c r="N100" s="202">
        <f>N76+35430</f>
        <v>682463</v>
      </c>
      <c r="O100" s="150" t="s">
        <v>89</v>
      </c>
      <c r="P100" s="150">
        <v>9</v>
      </c>
      <c r="Q100" s="153" t="s">
        <v>90</v>
      </c>
      <c r="R100" s="153" t="s">
        <v>91</v>
      </c>
      <c r="S100" s="153" t="s">
        <v>91</v>
      </c>
      <c r="T100" s="154" t="s">
        <v>92</v>
      </c>
      <c r="U100" s="154" t="s">
        <v>93</v>
      </c>
      <c r="V100" s="150" t="s">
        <v>94</v>
      </c>
      <c r="W100" s="150">
        <v>31</v>
      </c>
      <c r="X100" s="155" t="s">
        <v>95</v>
      </c>
      <c r="Y100" s="155" t="s">
        <v>96</v>
      </c>
      <c r="Z100" s="159">
        <v>42000</v>
      </c>
      <c r="AA100" s="151" t="s">
        <v>280</v>
      </c>
      <c r="AB100" s="159">
        <v>12549</v>
      </c>
      <c r="AC100" s="150" t="s">
        <v>97</v>
      </c>
      <c r="AD100" s="158" t="s">
        <v>97</v>
      </c>
      <c r="AE100" s="35"/>
      <c r="AF100" s="37">
        <f>AF76+35430</f>
        <v>625935</v>
      </c>
      <c r="AG100" s="29" t="s">
        <v>98</v>
      </c>
      <c r="AH100" s="228">
        <v>51763</v>
      </c>
      <c r="AI100" s="246" t="s">
        <v>327</v>
      </c>
      <c r="AJ100" s="230">
        <v>42000</v>
      </c>
      <c r="AK100" s="230" t="s">
        <v>280</v>
      </c>
      <c r="AL100" s="230">
        <v>12840</v>
      </c>
      <c r="AM100" s="231" t="s">
        <v>99</v>
      </c>
      <c r="AN100" s="40">
        <v>95730</v>
      </c>
      <c r="AO100" s="41" t="s">
        <v>304</v>
      </c>
      <c r="AP100" s="41" t="s">
        <v>307</v>
      </c>
      <c r="AQ100" s="27">
        <v>3000</v>
      </c>
      <c r="AR100" s="27" t="s">
        <v>94</v>
      </c>
      <c r="AS100" s="27">
        <v>1500</v>
      </c>
      <c r="AT100" s="29">
        <v>41</v>
      </c>
      <c r="AU100" s="29" t="s">
        <v>100</v>
      </c>
      <c r="AV100" s="31">
        <v>42</v>
      </c>
      <c r="AW100" s="31" t="s">
        <v>100</v>
      </c>
      <c r="AX100" s="42">
        <v>16000</v>
      </c>
      <c r="AY100" s="43" t="s">
        <v>100</v>
      </c>
      <c r="AZ100" s="43" t="s">
        <v>270</v>
      </c>
      <c r="BA100" s="32" t="s">
        <v>94</v>
      </c>
      <c r="BB100" s="32">
        <v>500</v>
      </c>
      <c r="BC100" s="44" t="s">
        <v>102</v>
      </c>
      <c r="BD100" s="33" t="s">
        <v>103</v>
      </c>
      <c r="BE100" s="271" t="s">
        <v>104</v>
      </c>
      <c r="BF100" s="271" t="s">
        <v>105</v>
      </c>
      <c r="BG100" s="269">
        <v>0</v>
      </c>
      <c r="BH100" s="42">
        <v>36500</v>
      </c>
      <c r="BI100" s="47" t="s">
        <v>100</v>
      </c>
      <c r="BJ100" s="32" t="s">
        <v>101</v>
      </c>
      <c r="BK100" s="32" t="s">
        <v>100</v>
      </c>
      <c r="BL100" s="26" t="s">
        <v>106</v>
      </c>
      <c r="BM100" s="26" t="s">
        <v>107</v>
      </c>
      <c r="BN100" s="209">
        <v>0</v>
      </c>
      <c r="BO100" s="26" t="s">
        <v>108</v>
      </c>
      <c r="BP100" s="34" t="s">
        <v>109</v>
      </c>
      <c r="BQ100" s="209">
        <v>4000</v>
      </c>
      <c r="BR100" s="26" t="s">
        <v>108</v>
      </c>
      <c r="BS100" s="34" t="s">
        <v>110</v>
      </c>
      <c r="BT100" s="209">
        <v>5500</v>
      </c>
      <c r="BU100" s="211">
        <v>11000</v>
      </c>
      <c r="BV100" s="212" t="s">
        <v>100</v>
      </c>
      <c r="BW100" s="212" t="s">
        <v>286</v>
      </c>
      <c r="BX100" s="213" t="s">
        <v>100</v>
      </c>
      <c r="BY100" s="213" t="s">
        <v>100</v>
      </c>
      <c r="BZ100" s="45">
        <v>2000</v>
      </c>
    </row>
    <row r="101" spans="1:78" ht="26.25" thickBot="1">
      <c r="C101" s="1"/>
      <c r="D101" s="296"/>
      <c r="E101" s="305"/>
      <c r="F101" s="308"/>
      <c r="G101" s="149">
        <v>5000</v>
      </c>
      <c r="H101" s="150">
        <v>4000</v>
      </c>
      <c r="I101" s="150">
        <v>10000</v>
      </c>
      <c r="J101" s="150">
        <v>10000</v>
      </c>
      <c r="K101" s="150">
        <v>50</v>
      </c>
      <c r="L101" s="150">
        <v>280</v>
      </c>
      <c r="M101" s="157" t="s">
        <v>264</v>
      </c>
      <c r="N101" s="202">
        <f>N77+38554</f>
        <v>758543</v>
      </c>
      <c r="O101" s="150" t="s">
        <v>89</v>
      </c>
      <c r="P101" s="150">
        <v>9</v>
      </c>
      <c r="Q101" s="153" t="s">
        <v>90</v>
      </c>
      <c r="R101" s="153" t="s">
        <v>91</v>
      </c>
      <c r="S101" s="153" t="s">
        <v>91</v>
      </c>
      <c r="T101" s="154" t="s">
        <v>92</v>
      </c>
      <c r="U101" s="154" t="s">
        <v>93</v>
      </c>
      <c r="V101" s="150" t="s">
        <v>94</v>
      </c>
      <c r="W101" s="150">
        <v>31</v>
      </c>
      <c r="X101" s="155" t="s">
        <v>95</v>
      </c>
      <c r="Y101" s="155" t="s">
        <v>96</v>
      </c>
      <c r="Z101" s="156">
        <v>47000</v>
      </c>
      <c r="AA101" s="157" t="s">
        <v>280</v>
      </c>
      <c r="AB101" s="156">
        <v>12549</v>
      </c>
      <c r="AC101" s="150" t="s">
        <v>97</v>
      </c>
      <c r="AD101" s="158" t="s">
        <v>97</v>
      </c>
      <c r="AE101" s="35"/>
      <c r="AF101" s="37">
        <f>AF77+38554</f>
        <v>681121</v>
      </c>
      <c r="AG101" s="29" t="s">
        <v>98</v>
      </c>
      <c r="AH101" s="247">
        <v>57599</v>
      </c>
      <c r="AI101" s="246" t="s">
        <v>328</v>
      </c>
      <c r="AJ101" s="230">
        <v>47000</v>
      </c>
      <c r="AK101" s="230" t="s">
        <v>280</v>
      </c>
      <c r="AL101" s="230">
        <v>12840</v>
      </c>
      <c r="AM101" s="231" t="s">
        <v>99</v>
      </c>
      <c r="AN101" s="40">
        <v>112987</v>
      </c>
      <c r="AO101" s="41" t="s">
        <v>304</v>
      </c>
      <c r="AP101" s="41" t="s">
        <v>307</v>
      </c>
      <c r="AQ101" s="27">
        <v>3000</v>
      </c>
      <c r="AR101" s="27" t="s">
        <v>94</v>
      </c>
      <c r="AS101" s="27">
        <v>1500</v>
      </c>
      <c r="AT101" s="29">
        <v>41</v>
      </c>
      <c r="AU101" s="29" t="s">
        <v>100</v>
      </c>
      <c r="AV101" s="31">
        <v>42</v>
      </c>
      <c r="AW101" s="31" t="s">
        <v>100</v>
      </c>
      <c r="AX101" s="42">
        <v>16000</v>
      </c>
      <c r="AY101" s="43" t="s">
        <v>100</v>
      </c>
      <c r="AZ101" s="43" t="s">
        <v>270</v>
      </c>
      <c r="BA101" s="32" t="s">
        <v>94</v>
      </c>
      <c r="BB101" s="32">
        <v>500</v>
      </c>
      <c r="BC101" s="44" t="s">
        <v>102</v>
      </c>
      <c r="BD101" s="33" t="s">
        <v>103</v>
      </c>
      <c r="BE101" s="271" t="s">
        <v>104</v>
      </c>
      <c r="BF101" s="271" t="s">
        <v>105</v>
      </c>
      <c r="BG101" s="269">
        <v>0</v>
      </c>
      <c r="BH101" s="42">
        <v>36500</v>
      </c>
      <c r="BI101" s="47" t="s">
        <v>100</v>
      </c>
      <c r="BJ101" s="32" t="s">
        <v>101</v>
      </c>
      <c r="BK101" s="32" t="s">
        <v>100</v>
      </c>
      <c r="BL101" s="26" t="s">
        <v>106</v>
      </c>
      <c r="BM101" s="26" t="s">
        <v>107</v>
      </c>
      <c r="BN101" s="209">
        <v>0</v>
      </c>
      <c r="BO101" s="26" t="s">
        <v>108</v>
      </c>
      <c r="BP101" s="34" t="s">
        <v>109</v>
      </c>
      <c r="BQ101" s="209">
        <v>4000</v>
      </c>
      <c r="BR101" s="26" t="s">
        <v>108</v>
      </c>
      <c r="BS101" s="34" t="s">
        <v>110</v>
      </c>
      <c r="BT101" s="209">
        <v>5500</v>
      </c>
      <c r="BU101" s="211">
        <v>11000</v>
      </c>
      <c r="BV101" s="212" t="s">
        <v>100</v>
      </c>
      <c r="BW101" s="212" t="s">
        <v>286</v>
      </c>
      <c r="BX101" s="213" t="s">
        <v>100</v>
      </c>
      <c r="BY101" s="213" t="s">
        <v>100</v>
      </c>
      <c r="BZ101" s="45">
        <v>2000</v>
      </c>
    </row>
    <row r="102" spans="1:78" ht="26.25" thickBot="1">
      <c r="C102" s="1"/>
      <c r="D102" s="296"/>
      <c r="E102" s="305"/>
      <c r="F102" s="308"/>
      <c r="G102" s="149">
        <v>6250</v>
      </c>
      <c r="H102" s="150">
        <v>5000</v>
      </c>
      <c r="I102" s="150">
        <v>10000</v>
      </c>
      <c r="J102" s="150">
        <v>10000</v>
      </c>
      <c r="K102" s="150">
        <v>50</v>
      </c>
      <c r="L102" s="150">
        <v>360</v>
      </c>
      <c r="M102" s="151" t="s">
        <v>265</v>
      </c>
      <c r="N102" s="202">
        <f>N78+48948</f>
        <v>968948</v>
      </c>
      <c r="O102" s="150" t="s">
        <v>89</v>
      </c>
      <c r="P102" s="150">
        <v>9</v>
      </c>
      <c r="Q102" s="153" t="s">
        <v>90</v>
      </c>
      <c r="R102" s="153" t="s">
        <v>91</v>
      </c>
      <c r="S102" s="153" t="s">
        <v>91</v>
      </c>
      <c r="T102" s="154" t="s">
        <v>92</v>
      </c>
      <c r="U102" s="154" t="s">
        <v>93</v>
      </c>
      <c r="V102" s="150" t="s">
        <v>99</v>
      </c>
      <c r="W102" s="150">
        <v>31</v>
      </c>
      <c r="X102" s="155" t="s">
        <v>95</v>
      </c>
      <c r="Y102" s="155" t="s">
        <v>96</v>
      </c>
      <c r="Z102" s="159">
        <v>42000</v>
      </c>
      <c r="AA102" s="151" t="s">
        <v>195</v>
      </c>
      <c r="AB102" s="159">
        <v>19700</v>
      </c>
      <c r="AC102" s="160" t="s">
        <v>145</v>
      </c>
      <c r="AD102" s="161" t="s">
        <v>146</v>
      </c>
      <c r="AE102" s="35"/>
      <c r="AF102" s="37">
        <f>AF78+48948</f>
        <v>864748</v>
      </c>
      <c r="AG102" s="29" t="s">
        <v>98</v>
      </c>
      <c r="AH102" s="218">
        <v>73600</v>
      </c>
      <c r="AI102" s="246" t="s">
        <v>329</v>
      </c>
      <c r="AJ102" s="230">
        <v>42000</v>
      </c>
      <c r="AK102" s="230" t="s">
        <v>195</v>
      </c>
      <c r="AL102" s="230">
        <v>19875</v>
      </c>
      <c r="AM102" s="231" t="s">
        <v>99</v>
      </c>
      <c r="AN102" s="235">
        <v>112987</v>
      </c>
      <c r="AO102" s="236" t="s">
        <v>304</v>
      </c>
      <c r="AP102" s="236" t="s">
        <v>307</v>
      </c>
      <c r="AQ102" s="237">
        <v>3000</v>
      </c>
      <c r="AR102" s="237" t="s">
        <v>94</v>
      </c>
      <c r="AS102" s="237">
        <v>1500</v>
      </c>
      <c r="AT102" s="29">
        <v>41</v>
      </c>
      <c r="AU102" s="29" t="s">
        <v>100</v>
      </c>
      <c r="AV102" s="31">
        <v>42</v>
      </c>
      <c r="AW102" s="31" t="s">
        <v>100</v>
      </c>
      <c r="AX102" s="347" t="s">
        <v>271</v>
      </c>
      <c r="AY102" s="348"/>
      <c r="AZ102" s="348"/>
      <c r="BA102" s="348"/>
      <c r="BB102" s="349"/>
      <c r="BC102" s="44" t="s">
        <v>102</v>
      </c>
      <c r="BD102" s="33" t="s">
        <v>103</v>
      </c>
      <c r="BE102" s="271" t="s">
        <v>104</v>
      </c>
      <c r="BF102" s="271" t="s">
        <v>105</v>
      </c>
      <c r="BG102" s="269">
        <v>0</v>
      </c>
      <c r="BH102" s="42">
        <v>49600</v>
      </c>
      <c r="BI102" s="47" t="s">
        <v>100</v>
      </c>
      <c r="BJ102" s="32" t="s">
        <v>101</v>
      </c>
      <c r="BK102" s="32" t="s">
        <v>100</v>
      </c>
      <c r="BL102" s="26" t="s">
        <v>106</v>
      </c>
      <c r="BM102" s="26" t="s">
        <v>107</v>
      </c>
      <c r="BN102" s="209">
        <v>0</v>
      </c>
      <c r="BO102" s="26" t="s">
        <v>108</v>
      </c>
      <c r="BP102" s="34" t="s">
        <v>109</v>
      </c>
      <c r="BQ102" s="209">
        <v>4000</v>
      </c>
      <c r="BR102" s="26" t="s">
        <v>108</v>
      </c>
      <c r="BS102" s="34" t="s">
        <v>110</v>
      </c>
      <c r="BT102" s="209">
        <v>5500</v>
      </c>
      <c r="BU102" s="211">
        <v>11000</v>
      </c>
      <c r="BV102" s="212" t="s">
        <v>100</v>
      </c>
      <c r="BW102" s="212" t="s">
        <v>286</v>
      </c>
      <c r="BX102" s="213" t="s">
        <v>100</v>
      </c>
      <c r="BY102" s="213" t="s">
        <v>100</v>
      </c>
      <c r="BZ102" s="45">
        <v>2000</v>
      </c>
    </row>
    <row r="103" spans="1:78" ht="147.75" customHeight="1" thickBot="1">
      <c r="C103" s="1"/>
      <c r="D103" s="297"/>
      <c r="E103" s="306"/>
      <c r="F103" s="309"/>
      <c r="G103" s="149">
        <v>7875</v>
      </c>
      <c r="H103" s="150">
        <v>6300</v>
      </c>
      <c r="I103" s="150">
        <v>10000</v>
      </c>
      <c r="J103" s="150">
        <v>10000</v>
      </c>
      <c r="K103" s="150">
        <v>50</v>
      </c>
      <c r="L103" s="150">
        <v>455</v>
      </c>
      <c r="M103" s="157" t="s">
        <v>266</v>
      </c>
      <c r="N103" s="202">
        <f>N79+77106</f>
        <v>1465106</v>
      </c>
      <c r="O103" s="150" t="s">
        <v>89</v>
      </c>
      <c r="P103" s="150">
        <v>9</v>
      </c>
      <c r="Q103" s="153" t="s">
        <v>90</v>
      </c>
      <c r="R103" s="153" t="s">
        <v>91</v>
      </c>
      <c r="S103" s="153" t="s">
        <v>91</v>
      </c>
      <c r="T103" s="154" t="s">
        <v>92</v>
      </c>
      <c r="U103" s="154" t="s">
        <v>93</v>
      </c>
      <c r="V103" s="150" t="s">
        <v>99</v>
      </c>
      <c r="W103" s="150">
        <v>31</v>
      </c>
      <c r="X103" s="155" t="s">
        <v>95</v>
      </c>
      <c r="Y103" s="155" t="s">
        <v>96</v>
      </c>
      <c r="Z103" s="156">
        <v>63000</v>
      </c>
      <c r="AA103" s="157" t="s">
        <v>281</v>
      </c>
      <c r="AB103" s="156">
        <v>23700</v>
      </c>
      <c r="AC103" s="160" t="s">
        <v>145</v>
      </c>
      <c r="AD103" s="112" t="s">
        <v>151</v>
      </c>
      <c r="AE103" s="35"/>
      <c r="AF103" s="37">
        <f>AF79+77106</f>
        <v>1362206</v>
      </c>
      <c r="AG103" s="29" t="s">
        <v>98</v>
      </c>
      <c r="AH103" s="228">
        <v>111040</v>
      </c>
      <c r="AI103" s="246" t="s">
        <v>330</v>
      </c>
      <c r="AJ103" s="230">
        <v>63000</v>
      </c>
      <c r="AK103" s="230" t="s">
        <v>281</v>
      </c>
      <c r="AL103" s="230">
        <v>24425</v>
      </c>
      <c r="AM103" s="231" t="s">
        <v>99</v>
      </c>
      <c r="AN103" s="248">
        <v>127055</v>
      </c>
      <c r="AO103" s="249" t="s">
        <v>305</v>
      </c>
      <c r="AP103" s="249" t="s">
        <v>308</v>
      </c>
      <c r="AQ103" s="250">
        <v>4000</v>
      </c>
      <c r="AR103" s="250" t="s">
        <v>94</v>
      </c>
      <c r="AS103" s="250">
        <v>2500</v>
      </c>
      <c r="AT103" s="29">
        <v>41</v>
      </c>
      <c r="AU103" s="29" t="s">
        <v>100</v>
      </c>
      <c r="AV103" s="31">
        <v>42</v>
      </c>
      <c r="AW103" s="31" t="s">
        <v>100</v>
      </c>
      <c r="AX103" s="339" t="s">
        <v>272</v>
      </c>
      <c r="AY103" s="340"/>
      <c r="AZ103" s="340"/>
      <c r="BA103" s="340"/>
      <c r="BB103" s="341"/>
      <c r="BC103" s="44" t="s">
        <v>102</v>
      </c>
      <c r="BD103" s="33" t="s">
        <v>103</v>
      </c>
      <c r="BE103" s="271" t="s">
        <v>104</v>
      </c>
      <c r="BF103" s="271" t="s">
        <v>105</v>
      </c>
      <c r="BG103" s="269">
        <v>0</v>
      </c>
      <c r="BH103" s="333" t="s">
        <v>150</v>
      </c>
      <c r="BI103" s="334"/>
      <c r="BJ103" s="334"/>
      <c r="BK103" s="335"/>
      <c r="BL103" s="26" t="s">
        <v>106</v>
      </c>
      <c r="BM103" s="26" t="s">
        <v>107</v>
      </c>
      <c r="BN103" s="209">
        <v>0</v>
      </c>
      <c r="BO103" s="26" t="s">
        <v>108</v>
      </c>
      <c r="BP103" s="34" t="s">
        <v>109</v>
      </c>
      <c r="BQ103" s="209">
        <v>4000</v>
      </c>
      <c r="BR103" s="26" t="s">
        <v>108</v>
      </c>
      <c r="BS103" s="34" t="s">
        <v>110</v>
      </c>
      <c r="BT103" s="209">
        <v>5500</v>
      </c>
      <c r="BU103" s="211">
        <v>11000</v>
      </c>
      <c r="BV103" s="212" t="s">
        <v>100</v>
      </c>
      <c r="BW103" s="212" t="s">
        <v>286</v>
      </c>
      <c r="BX103" s="213" t="s">
        <v>100</v>
      </c>
      <c r="BY103" s="213" t="s">
        <v>100</v>
      </c>
      <c r="BZ103" s="45">
        <v>2000</v>
      </c>
    </row>
    <row r="104" spans="1:78" ht="13.5" thickBot="1">
      <c r="C104" s="1"/>
      <c r="D104" s="36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36"/>
      <c r="AJ104" s="36"/>
      <c r="AK104" s="1"/>
      <c r="AL104" s="36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Z104" s="36"/>
    </row>
    <row r="105" spans="1:78" ht="13.5" thickBot="1">
      <c r="A105" s="113"/>
      <c r="B105" s="119" t="s">
        <v>166</v>
      </c>
      <c r="C105" s="1"/>
      <c r="D105" s="36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36"/>
      <c r="AJ105" s="36"/>
      <c r="AK105" s="1"/>
      <c r="AL105" s="36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Z105" s="36"/>
    </row>
    <row r="106" spans="1:78" ht="26.25" customHeight="1" thickBot="1">
      <c r="A106" s="260" t="s">
        <v>112</v>
      </c>
      <c r="B106" s="260" t="s">
        <v>172</v>
      </c>
      <c r="C106" s="1"/>
      <c r="D106" s="295">
        <v>5</v>
      </c>
      <c r="E106" s="304" t="s">
        <v>347</v>
      </c>
      <c r="F106" s="307" t="s">
        <v>346</v>
      </c>
      <c r="G106" s="67">
        <v>250</v>
      </c>
      <c r="H106" s="68">
        <v>200</v>
      </c>
      <c r="I106" s="68">
        <v>6000</v>
      </c>
      <c r="J106" s="68">
        <v>6000</v>
      </c>
      <c r="K106" s="68">
        <v>50</v>
      </c>
      <c r="L106" s="68">
        <v>25</v>
      </c>
      <c r="M106" s="83" t="s">
        <v>219</v>
      </c>
      <c r="N106" s="69">
        <v>149137</v>
      </c>
      <c r="O106" s="68" t="s">
        <v>89</v>
      </c>
      <c r="P106" s="68">
        <v>5</v>
      </c>
      <c r="Q106" s="70" t="s">
        <v>198</v>
      </c>
      <c r="R106" s="70" t="s">
        <v>91</v>
      </c>
      <c r="S106" s="70" t="s">
        <v>199</v>
      </c>
      <c r="T106" s="71" t="s">
        <v>92</v>
      </c>
      <c r="U106" s="71" t="s">
        <v>93</v>
      </c>
      <c r="V106" s="68" t="s">
        <v>94</v>
      </c>
      <c r="W106" s="68">
        <v>31</v>
      </c>
      <c r="X106" s="72" t="s">
        <v>95</v>
      </c>
      <c r="Y106" s="72" t="s">
        <v>96</v>
      </c>
      <c r="Z106" s="86">
        <v>6000</v>
      </c>
      <c r="AA106" s="83" t="s">
        <v>200</v>
      </c>
      <c r="AB106" s="86">
        <v>2500</v>
      </c>
      <c r="AC106" s="68" t="s">
        <v>97</v>
      </c>
      <c r="AD106" s="73" t="s">
        <v>97</v>
      </c>
      <c r="AE106" s="28"/>
      <c r="AF106" s="37">
        <v>140189</v>
      </c>
      <c r="AG106" s="29" t="s">
        <v>98</v>
      </c>
      <c r="AH106" s="226">
        <v>14168</v>
      </c>
      <c r="AI106" s="48" t="s">
        <v>219</v>
      </c>
      <c r="AJ106" s="39">
        <v>6000</v>
      </c>
      <c r="AK106" s="39" t="s">
        <v>200</v>
      </c>
      <c r="AL106" s="39">
        <v>2500</v>
      </c>
      <c r="AM106" s="30" t="s">
        <v>94</v>
      </c>
      <c r="AN106" s="40">
        <v>53200</v>
      </c>
      <c r="AO106" s="41" t="s">
        <v>331</v>
      </c>
      <c r="AP106" s="41" t="s">
        <v>332</v>
      </c>
      <c r="AQ106" s="27">
        <v>3000</v>
      </c>
      <c r="AR106" s="27" t="s">
        <v>94</v>
      </c>
      <c r="AS106" s="27">
        <v>900</v>
      </c>
      <c r="AT106" s="29">
        <v>41</v>
      </c>
      <c r="AU106" s="29" t="s">
        <v>100</v>
      </c>
      <c r="AV106" s="31">
        <v>42</v>
      </c>
      <c r="AW106" s="31" t="s">
        <v>100</v>
      </c>
      <c r="AX106" s="209"/>
      <c r="AY106" s="285"/>
      <c r="AZ106" s="285"/>
      <c r="BA106" s="286"/>
      <c r="BB106" s="286"/>
      <c r="BC106" s="44" t="s">
        <v>204</v>
      </c>
      <c r="BD106" s="33" t="s">
        <v>103</v>
      </c>
      <c r="BE106" s="271" t="s">
        <v>104</v>
      </c>
      <c r="BF106" s="271" t="s">
        <v>105</v>
      </c>
      <c r="BG106" s="269">
        <v>0</v>
      </c>
      <c r="BH106" s="42">
        <v>24000</v>
      </c>
      <c r="BI106" s="47" t="s">
        <v>100</v>
      </c>
      <c r="BJ106" s="32" t="s">
        <v>309</v>
      </c>
      <c r="BK106" s="32">
        <v>500</v>
      </c>
      <c r="BL106" s="26" t="s">
        <v>106</v>
      </c>
      <c r="BM106" s="26" t="s">
        <v>107</v>
      </c>
      <c r="BN106" s="209">
        <v>0</v>
      </c>
      <c r="BO106" s="26" t="s">
        <v>108</v>
      </c>
      <c r="BP106" s="34" t="s">
        <v>109</v>
      </c>
      <c r="BQ106" s="209">
        <v>4000</v>
      </c>
      <c r="BR106" s="26" t="s">
        <v>108</v>
      </c>
      <c r="BS106" s="34" t="s">
        <v>110</v>
      </c>
      <c r="BT106" s="209">
        <v>5500</v>
      </c>
      <c r="BU106" s="211">
        <v>11000</v>
      </c>
      <c r="BV106" s="212" t="s">
        <v>100</v>
      </c>
      <c r="BW106" s="212" t="s">
        <v>286</v>
      </c>
      <c r="BX106" s="213" t="s">
        <v>100</v>
      </c>
      <c r="BY106" s="213" t="s">
        <v>100</v>
      </c>
      <c r="BZ106" s="45">
        <v>2000</v>
      </c>
    </row>
    <row r="107" spans="1:78" ht="51.75" thickBot="1">
      <c r="A107" s="261" t="s">
        <v>113</v>
      </c>
      <c r="B107" s="261" t="s">
        <v>184</v>
      </c>
      <c r="C107" s="1"/>
      <c r="D107" s="296"/>
      <c r="E107" s="305"/>
      <c r="F107" s="308"/>
      <c r="G107" s="74">
        <v>275</v>
      </c>
      <c r="H107" s="62">
        <v>220</v>
      </c>
      <c r="I107" s="62">
        <v>6000</v>
      </c>
      <c r="J107" s="62">
        <v>6000</v>
      </c>
      <c r="K107" s="62">
        <v>50</v>
      </c>
      <c r="L107" s="62">
        <v>28</v>
      </c>
      <c r="M107" s="84" t="s">
        <v>219</v>
      </c>
      <c r="N107" s="63">
        <v>150443</v>
      </c>
      <c r="O107" s="62" t="s">
        <v>89</v>
      </c>
      <c r="P107" s="62">
        <v>5</v>
      </c>
      <c r="Q107" s="64" t="s">
        <v>198</v>
      </c>
      <c r="R107" s="64" t="s">
        <v>91</v>
      </c>
      <c r="S107" s="64" t="s">
        <v>199</v>
      </c>
      <c r="T107" s="65" t="s">
        <v>92</v>
      </c>
      <c r="U107" s="65" t="s">
        <v>93</v>
      </c>
      <c r="V107" s="62" t="s">
        <v>94</v>
      </c>
      <c r="W107" s="62">
        <v>31</v>
      </c>
      <c r="X107" s="66" t="s">
        <v>95</v>
      </c>
      <c r="Y107" s="66" t="s">
        <v>96</v>
      </c>
      <c r="Z107" s="87">
        <v>6000</v>
      </c>
      <c r="AA107" s="84" t="s">
        <v>200</v>
      </c>
      <c r="AB107" s="87">
        <v>2500</v>
      </c>
      <c r="AC107" s="62" t="s">
        <v>97</v>
      </c>
      <c r="AD107" s="75" t="s">
        <v>97</v>
      </c>
      <c r="AE107" s="35"/>
      <c r="AF107" s="37">
        <v>141416</v>
      </c>
      <c r="AG107" s="29" t="s">
        <v>98</v>
      </c>
      <c r="AH107" s="218">
        <v>14292</v>
      </c>
      <c r="AI107" s="219" t="s">
        <v>219</v>
      </c>
      <c r="AJ107" s="220">
        <v>6000</v>
      </c>
      <c r="AK107" s="220" t="s">
        <v>200</v>
      </c>
      <c r="AL107" s="220">
        <v>2500</v>
      </c>
      <c r="AM107" s="221" t="s">
        <v>94</v>
      </c>
      <c r="AN107" s="40">
        <v>53200</v>
      </c>
      <c r="AO107" s="41" t="s">
        <v>331</v>
      </c>
      <c r="AP107" s="41" t="s">
        <v>332</v>
      </c>
      <c r="AQ107" s="27">
        <v>3000</v>
      </c>
      <c r="AR107" s="27" t="s">
        <v>94</v>
      </c>
      <c r="AS107" s="27">
        <v>900</v>
      </c>
      <c r="AT107" s="29">
        <v>41</v>
      </c>
      <c r="AU107" s="29" t="s">
        <v>100</v>
      </c>
      <c r="AV107" s="31">
        <v>42</v>
      </c>
      <c r="AW107" s="31" t="s">
        <v>100</v>
      </c>
      <c r="AX107" s="209"/>
      <c r="AY107" s="285"/>
      <c r="AZ107" s="285"/>
      <c r="BA107" s="286"/>
      <c r="BB107" s="286"/>
      <c r="BC107" s="44" t="s">
        <v>204</v>
      </c>
      <c r="BD107" s="33" t="s">
        <v>103</v>
      </c>
      <c r="BE107" s="271" t="s">
        <v>104</v>
      </c>
      <c r="BF107" s="271" t="s">
        <v>105</v>
      </c>
      <c r="BG107" s="269">
        <v>0</v>
      </c>
      <c r="BH107" s="42">
        <v>24000</v>
      </c>
      <c r="BI107" s="47" t="s">
        <v>100</v>
      </c>
      <c r="BJ107" s="32" t="s">
        <v>309</v>
      </c>
      <c r="BK107" s="32">
        <v>500</v>
      </c>
      <c r="BL107" s="26" t="s">
        <v>106</v>
      </c>
      <c r="BM107" s="26" t="s">
        <v>107</v>
      </c>
      <c r="BN107" s="209">
        <v>0</v>
      </c>
      <c r="BO107" s="26" t="s">
        <v>108</v>
      </c>
      <c r="BP107" s="34" t="s">
        <v>109</v>
      </c>
      <c r="BQ107" s="209">
        <v>4000</v>
      </c>
      <c r="BR107" s="26" t="s">
        <v>108</v>
      </c>
      <c r="BS107" s="34" t="s">
        <v>110</v>
      </c>
      <c r="BT107" s="209">
        <v>5500</v>
      </c>
      <c r="BU107" s="211">
        <v>11000</v>
      </c>
      <c r="BV107" s="212" t="s">
        <v>100</v>
      </c>
      <c r="BW107" s="212" t="s">
        <v>286</v>
      </c>
      <c r="BX107" s="213" t="s">
        <v>100</v>
      </c>
      <c r="BY107" s="213" t="s">
        <v>100</v>
      </c>
      <c r="BZ107" s="45">
        <v>2000</v>
      </c>
    </row>
    <row r="108" spans="1:78" ht="26.25" thickBot="1">
      <c r="A108" s="262" t="s">
        <v>114</v>
      </c>
      <c r="B108" s="262" t="s">
        <v>167</v>
      </c>
      <c r="C108" s="1"/>
      <c r="D108" s="296"/>
      <c r="E108" s="305"/>
      <c r="F108" s="308"/>
      <c r="G108" s="74">
        <v>315</v>
      </c>
      <c r="H108" s="62">
        <v>250</v>
      </c>
      <c r="I108" s="62">
        <v>6000</v>
      </c>
      <c r="J108" s="62">
        <v>6000</v>
      </c>
      <c r="K108" s="62">
        <v>50</v>
      </c>
      <c r="L108" s="62">
        <v>32</v>
      </c>
      <c r="M108" s="84" t="s">
        <v>219</v>
      </c>
      <c r="N108" s="63">
        <v>154395</v>
      </c>
      <c r="O108" s="62" t="s">
        <v>89</v>
      </c>
      <c r="P108" s="62">
        <v>5</v>
      </c>
      <c r="Q108" s="64" t="s">
        <v>198</v>
      </c>
      <c r="R108" s="64" t="s">
        <v>91</v>
      </c>
      <c r="S108" s="64" t="s">
        <v>199</v>
      </c>
      <c r="T108" s="65" t="s">
        <v>92</v>
      </c>
      <c r="U108" s="65" t="s">
        <v>93</v>
      </c>
      <c r="V108" s="62" t="s">
        <v>94</v>
      </c>
      <c r="W108" s="62">
        <v>31</v>
      </c>
      <c r="X108" s="66" t="s">
        <v>95</v>
      </c>
      <c r="Y108" s="66" t="s">
        <v>96</v>
      </c>
      <c r="Z108" s="87">
        <v>6000</v>
      </c>
      <c r="AA108" s="84" t="s">
        <v>200</v>
      </c>
      <c r="AB108" s="87">
        <v>2500</v>
      </c>
      <c r="AC108" s="62" t="s">
        <v>97</v>
      </c>
      <c r="AD108" s="75" t="s">
        <v>97</v>
      </c>
      <c r="AE108" s="35"/>
      <c r="AF108" s="37">
        <v>145131</v>
      </c>
      <c r="AG108" s="29" t="s">
        <v>98</v>
      </c>
      <c r="AH108" s="222">
        <v>14668</v>
      </c>
      <c r="AI108" s="223" t="s">
        <v>220</v>
      </c>
      <c r="AJ108" s="224">
        <v>8000</v>
      </c>
      <c r="AK108" s="224" t="s">
        <v>201</v>
      </c>
      <c r="AL108" s="224">
        <v>2900</v>
      </c>
      <c r="AM108" s="225" t="s">
        <v>94</v>
      </c>
      <c r="AN108" s="40">
        <v>53200</v>
      </c>
      <c r="AO108" s="41" t="s">
        <v>331</v>
      </c>
      <c r="AP108" s="41" t="s">
        <v>332</v>
      </c>
      <c r="AQ108" s="27">
        <v>3000</v>
      </c>
      <c r="AR108" s="27" t="s">
        <v>94</v>
      </c>
      <c r="AS108" s="27">
        <v>900</v>
      </c>
      <c r="AT108" s="29">
        <v>41</v>
      </c>
      <c r="AU108" s="29" t="s">
        <v>100</v>
      </c>
      <c r="AV108" s="31">
        <v>42</v>
      </c>
      <c r="AW108" s="31" t="s">
        <v>100</v>
      </c>
      <c r="AX108" s="209"/>
      <c r="AY108" s="285"/>
      <c r="AZ108" s="285"/>
      <c r="BA108" s="286"/>
      <c r="BB108" s="286"/>
      <c r="BC108" s="44" t="s">
        <v>204</v>
      </c>
      <c r="BD108" s="33" t="s">
        <v>103</v>
      </c>
      <c r="BE108" s="271" t="s">
        <v>104</v>
      </c>
      <c r="BF108" s="271" t="s">
        <v>105</v>
      </c>
      <c r="BG108" s="269">
        <v>0</v>
      </c>
      <c r="BH108" s="42">
        <v>24000</v>
      </c>
      <c r="BI108" s="47" t="s">
        <v>100</v>
      </c>
      <c r="BJ108" s="32" t="s">
        <v>309</v>
      </c>
      <c r="BK108" s="32">
        <v>500</v>
      </c>
      <c r="BL108" s="26" t="s">
        <v>106</v>
      </c>
      <c r="BM108" s="26" t="s">
        <v>107</v>
      </c>
      <c r="BN108" s="209">
        <v>0</v>
      </c>
      <c r="BO108" s="26" t="s">
        <v>108</v>
      </c>
      <c r="BP108" s="34" t="s">
        <v>109</v>
      </c>
      <c r="BQ108" s="209">
        <v>4000</v>
      </c>
      <c r="BR108" s="26" t="s">
        <v>108</v>
      </c>
      <c r="BS108" s="34" t="s">
        <v>110</v>
      </c>
      <c r="BT108" s="209">
        <v>5500</v>
      </c>
      <c r="BU108" s="211">
        <v>11000</v>
      </c>
      <c r="BV108" s="212" t="s">
        <v>100</v>
      </c>
      <c r="BW108" s="212" t="s">
        <v>286</v>
      </c>
      <c r="BX108" s="213" t="s">
        <v>100</v>
      </c>
      <c r="BY108" s="213" t="s">
        <v>100</v>
      </c>
      <c r="BZ108" s="45">
        <v>2000</v>
      </c>
    </row>
    <row r="109" spans="1:78" ht="26.25" thickBot="1">
      <c r="A109" s="263" t="s">
        <v>115</v>
      </c>
      <c r="B109" s="263" t="s">
        <v>168</v>
      </c>
      <c r="C109" s="1"/>
      <c r="D109" s="296"/>
      <c r="E109" s="305"/>
      <c r="F109" s="308"/>
      <c r="G109" s="74">
        <v>350</v>
      </c>
      <c r="H109" s="62">
        <v>280</v>
      </c>
      <c r="I109" s="62">
        <v>6000</v>
      </c>
      <c r="J109" s="62">
        <v>6000</v>
      </c>
      <c r="K109" s="62">
        <v>50</v>
      </c>
      <c r="L109" s="62">
        <v>35</v>
      </c>
      <c r="M109" s="84" t="s">
        <v>219</v>
      </c>
      <c r="N109" s="63">
        <v>155273</v>
      </c>
      <c r="O109" s="62" t="s">
        <v>89</v>
      </c>
      <c r="P109" s="62">
        <v>5</v>
      </c>
      <c r="Q109" s="64" t="s">
        <v>198</v>
      </c>
      <c r="R109" s="64" t="s">
        <v>91</v>
      </c>
      <c r="S109" s="64" t="s">
        <v>199</v>
      </c>
      <c r="T109" s="65" t="s">
        <v>92</v>
      </c>
      <c r="U109" s="65" t="s">
        <v>93</v>
      </c>
      <c r="V109" s="62" t="s">
        <v>94</v>
      </c>
      <c r="W109" s="62">
        <v>31</v>
      </c>
      <c r="X109" s="66" t="s">
        <v>95</v>
      </c>
      <c r="Y109" s="66" t="s">
        <v>96</v>
      </c>
      <c r="Z109" s="87">
        <v>6000</v>
      </c>
      <c r="AA109" s="84" t="s">
        <v>200</v>
      </c>
      <c r="AB109" s="87">
        <v>2500</v>
      </c>
      <c r="AC109" s="62" t="s">
        <v>97</v>
      </c>
      <c r="AD109" s="75" t="s">
        <v>97</v>
      </c>
      <c r="AE109" s="35"/>
      <c r="AF109" s="37">
        <v>145957</v>
      </c>
      <c r="AG109" s="29" t="s">
        <v>98</v>
      </c>
      <c r="AH109" s="226">
        <v>14751</v>
      </c>
      <c r="AI109" s="48" t="s">
        <v>220</v>
      </c>
      <c r="AJ109" s="39">
        <v>8000</v>
      </c>
      <c r="AK109" s="39" t="s">
        <v>201</v>
      </c>
      <c r="AL109" s="39">
        <v>2900</v>
      </c>
      <c r="AM109" s="30" t="s">
        <v>94</v>
      </c>
      <c r="AN109" s="40">
        <v>53200</v>
      </c>
      <c r="AO109" s="41" t="s">
        <v>331</v>
      </c>
      <c r="AP109" s="41" t="s">
        <v>332</v>
      </c>
      <c r="AQ109" s="27">
        <v>3000</v>
      </c>
      <c r="AR109" s="27" t="s">
        <v>94</v>
      </c>
      <c r="AS109" s="27">
        <v>900</v>
      </c>
      <c r="AT109" s="29">
        <v>41</v>
      </c>
      <c r="AU109" s="29" t="s">
        <v>100</v>
      </c>
      <c r="AV109" s="31">
        <v>42</v>
      </c>
      <c r="AW109" s="31" t="s">
        <v>100</v>
      </c>
      <c r="AX109" s="209"/>
      <c r="AY109" s="285"/>
      <c r="AZ109" s="285"/>
      <c r="BA109" s="286"/>
      <c r="BB109" s="286"/>
      <c r="BC109" s="44" t="s">
        <v>204</v>
      </c>
      <c r="BD109" s="33" t="s">
        <v>103</v>
      </c>
      <c r="BE109" s="271" t="s">
        <v>104</v>
      </c>
      <c r="BF109" s="271" t="s">
        <v>105</v>
      </c>
      <c r="BG109" s="269">
        <v>0</v>
      </c>
      <c r="BH109" s="42">
        <v>24000</v>
      </c>
      <c r="BI109" s="47" t="s">
        <v>100</v>
      </c>
      <c r="BJ109" s="32" t="s">
        <v>309</v>
      </c>
      <c r="BK109" s="32">
        <v>500</v>
      </c>
      <c r="BL109" s="26" t="s">
        <v>106</v>
      </c>
      <c r="BM109" s="26" t="s">
        <v>107</v>
      </c>
      <c r="BN109" s="209">
        <v>0</v>
      </c>
      <c r="BO109" s="26" t="s">
        <v>108</v>
      </c>
      <c r="BP109" s="34" t="s">
        <v>109</v>
      </c>
      <c r="BQ109" s="209">
        <v>4000</v>
      </c>
      <c r="BR109" s="26" t="s">
        <v>108</v>
      </c>
      <c r="BS109" s="34" t="s">
        <v>110</v>
      </c>
      <c r="BT109" s="209">
        <v>5500</v>
      </c>
      <c r="BU109" s="211">
        <v>11000</v>
      </c>
      <c r="BV109" s="212" t="s">
        <v>100</v>
      </c>
      <c r="BW109" s="212" t="s">
        <v>286</v>
      </c>
      <c r="BX109" s="213" t="s">
        <v>100</v>
      </c>
      <c r="BY109" s="213" t="s">
        <v>100</v>
      </c>
      <c r="BZ109" s="45">
        <v>2000</v>
      </c>
    </row>
    <row r="110" spans="1:78" ht="26.25" thickBot="1">
      <c r="A110" s="264" t="s">
        <v>116</v>
      </c>
      <c r="B110" s="264" t="s">
        <v>169</v>
      </c>
      <c r="C110" s="1"/>
      <c r="D110" s="296"/>
      <c r="E110" s="305"/>
      <c r="F110" s="308"/>
      <c r="G110" s="74">
        <v>375</v>
      </c>
      <c r="H110" s="62">
        <v>300</v>
      </c>
      <c r="I110" s="62">
        <v>6000</v>
      </c>
      <c r="J110" s="62">
        <v>6000</v>
      </c>
      <c r="K110" s="62">
        <v>50</v>
      </c>
      <c r="L110" s="62">
        <v>38</v>
      </c>
      <c r="M110" s="84" t="s">
        <v>219</v>
      </c>
      <c r="N110" s="63">
        <v>160481</v>
      </c>
      <c r="O110" s="62" t="s">
        <v>89</v>
      </c>
      <c r="P110" s="62">
        <v>5</v>
      </c>
      <c r="Q110" s="64" t="s">
        <v>198</v>
      </c>
      <c r="R110" s="64" t="s">
        <v>91</v>
      </c>
      <c r="S110" s="64" t="s">
        <v>199</v>
      </c>
      <c r="T110" s="65" t="s">
        <v>92</v>
      </c>
      <c r="U110" s="65" t="s">
        <v>93</v>
      </c>
      <c r="V110" s="62" t="s">
        <v>94</v>
      </c>
      <c r="W110" s="62">
        <v>31</v>
      </c>
      <c r="X110" s="66" t="s">
        <v>95</v>
      </c>
      <c r="Y110" s="66" t="s">
        <v>96</v>
      </c>
      <c r="Z110" s="87">
        <v>6000</v>
      </c>
      <c r="AA110" s="84" t="s">
        <v>200</v>
      </c>
      <c r="AB110" s="87">
        <v>2500</v>
      </c>
      <c r="AC110" s="62" t="s">
        <v>97</v>
      </c>
      <c r="AD110" s="75" t="s">
        <v>97</v>
      </c>
      <c r="AE110" s="35"/>
      <c r="AF110" s="37">
        <v>150852</v>
      </c>
      <c r="AG110" s="29" t="s">
        <v>98</v>
      </c>
      <c r="AH110" s="226">
        <v>15246</v>
      </c>
      <c r="AI110" s="48" t="s">
        <v>220</v>
      </c>
      <c r="AJ110" s="39">
        <v>8000</v>
      </c>
      <c r="AK110" s="39" t="s">
        <v>201</v>
      </c>
      <c r="AL110" s="39">
        <v>2900</v>
      </c>
      <c r="AM110" s="30" t="s">
        <v>94</v>
      </c>
      <c r="AN110" s="40">
        <v>53200</v>
      </c>
      <c r="AO110" s="41" t="s">
        <v>331</v>
      </c>
      <c r="AP110" s="41" t="s">
        <v>332</v>
      </c>
      <c r="AQ110" s="27">
        <v>3000</v>
      </c>
      <c r="AR110" s="27" t="s">
        <v>94</v>
      </c>
      <c r="AS110" s="27">
        <v>900</v>
      </c>
      <c r="AT110" s="29">
        <v>41</v>
      </c>
      <c r="AU110" s="29" t="s">
        <v>100</v>
      </c>
      <c r="AV110" s="31">
        <v>42</v>
      </c>
      <c r="AW110" s="31" t="s">
        <v>100</v>
      </c>
      <c r="AX110" s="209"/>
      <c r="AY110" s="285"/>
      <c r="AZ110" s="285"/>
      <c r="BA110" s="286"/>
      <c r="BB110" s="286"/>
      <c r="BC110" s="44" t="s">
        <v>204</v>
      </c>
      <c r="BD110" s="33" t="s">
        <v>103</v>
      </c>
      <c r="BE110" s="271" t="s">
        <v>104</v>
      </c>
      <c r="BF110" s="271" t="s">
        <v>105</v>
      </c>
      <c r="BG110" s="269">
        <v>0</v>
      </c>
      <c r="BH110" s="42">
        <v>24000</v>
      </c>
      <c r="BI110" s="47" t="s">
        <v>100</v>
      </c>
      <c r="BJ110" s="32" t="s">
        <v>309</v>
      </c>
      <c r="BK110" s="32">
        <v>500</v>
      </c>
      <c r="BL110" s="26" t="s">
        <v>106</v>
      </c>
      <c r="BM110" s="26" t="s">
        <v>107</v>
      </c>
      <c r="BN110" s="209">
        <v>0</v>
      </c>
      <c r="BO110" s="26" t="s">
        <v>108</v>
      </c>
      <c r="BP110" s="34" t="s">
        <v>109</v>
      </c>
      <c r="BQ110" s="209">
        <v>4000</v>
      </c>
      <c r="BR110" s="26" t="s">
        <v>108</v>
      </c>
      <c r="BS110" s="34" t="s">
        <v>110</v>
      </c>
      <c r="BT110" s="209">
        <v>5500</v>
      </c>
      <c r="BU110" s="211">
        <v>11000</v>
      </c>
      <c r="BV110" s="212" t="s">
        <v>100</v>
      </c>
      <c r="BW110" s="212" t="s">
        <v>286</v>
      </c>
      <c r="BX110" s="213" t="s">
        <v>100</v>
      </c>
      <c r="BY110" s="213" t="s">
        <v>100</v>
      </c>
      <c r="BZ110" s="45">
        <v>2000</v>
      </c>
    </row>
    <row r="111" spans="1:78" ht="26.25" thickBot="1">
      <c r="A111" s="265"/>
      <c r="B111" s="265"/>
      <c r="C111" s="1"/>
      <c r="D111" s="296"/>
      <c r="E111" s="305"/>
      <c r="F111" s="308"/>
      <c r="G111" s="76">
        <v>420</v>
      </c>
      <c r="H111" s="77">
        <v>335</v>
      </c>
      <c r="I111" s="77">
        <v>6000</v>
      </c>
      <c r="J111" s="77">
        <v>6000</v>
      </c>
      <c r="K111" s="77">
        <v>50</v>
      </c>
      <c r="L111" s="77">
        <v>42</v>
      </c>
      <c r="M111" s="85" t="s">
        <v>219</v>
      </c>
      <c r="N111" s="78">
        <v>161602</v>
      </c>
      <c r="O111" s="77" t="s">
        <v>89</v>
      </c>
      <c r="P111" s="77">
        <v>5</v>
      </c>
      <c r="Q111" s="79" t="s">
        <v>198</v>
      </c>
      <c r="R111" s="79" t="s">
        <v>91</v>
      </c>
      <c r="S111" s="79" t="s">
        <v>199</v>
      </c>
      <c r="T111" s="80" t="s">
        <v>92</v>
      </c>
      <c r="U111" s="80" t="s">
        <v>93</v>
      </c>
      <c r="V111" s="77" t="s">
        <v>94</v>
      </c>
      <c r="W111" s="77">
        <v>31</v>
      </c>
      <c r="X111" s="81" t="s">
        <v>95</v>
      </c>
      <c r="Y111" s="81" t="s">
        <v>96</v>
      </c>
      <c r="Z111" s="88">
        <v>6000</v>
      </c>
      <c r="AA111" s="85" t="s">
        <v>200</v>
      </c>
      <c r="AB111" s="88">
        <v>2500</v>
      </c>
      <c r="AC111" s="77" t="s">
        <v>97</v>
      </c>
      <c r="AD111" s="82" t="s">
        <v>97</v>
      </c>
      <c r="AE111" s="35"/>
      <c r="AF111" s="37">
        <v>151906</v>
      </c>
      <c r="AG111" s="29" t="s">
        <v>98</v>
      </c>
      <c r="AH111" s="226">
        <v>15352</v>
      </c>
      <c r="AI111" s="48" t="s">
        <v>220</v>
      </c>
      <c r="AJ111" s="39">
        <v>8000</v>
      </c>
      <c r="AK111" s="39" t="s">
        <v>201</v>
      </c>
      <c r="AL111" s="39">
        <v>2900</v>
      </c>
      <c r="AM111" s="30" t="s">
        <v>94</v>
      </c>
      <c r="AN111" s="40">
        <v>53200</v>
      </c>
      <c r="AO111" s="41" t="s">
        <v>331</v>
      </c>
      <c r="AP111" s="41" t="s">
        <v>332</v>
      </c>
      <c r="AQ111" s="27">
        <v>3000</v>
      </c>
      <c r="AR111" s="27" t="s">
        <v>94</v>
      </c>
      <c r="AS111" s="27">
        <v>900</v>
      </c>
      <c r="AT111" s="29">
        <v>41</v>
      </c>
      <c r="AU111" s="29" t="s">
        <v>100</v>
      </c>
      <c r="AV111" s="31">
        <v>42</v>
      </c>
      <c r="AW111" s="31" t="s">
        <v>100</v>
      </c>
      <c r="AX111" s="209"/>
      <c r="AY111" s="285"/>
      <c r="AZ111" s="285"/>
      <c r="BA111" s="286"/>
      <c r="BB111" s="286"/>
      <c r="BC111" s="44" t="s">
        <v>204</v>
      </c>
      <c r="BD111" s="33" t="s">
        <v>103</v>
      </c>
      <c r="BE111" s="271" t="s">
        <v>104</v>
      </c>
      <c r="BF111" s="271" t="s">
        <v>105</v>
      </c>
      <c r="BG111" s="269">
        <v>0</v>
      </c>
      <c r="BH111" s="42">
        <v>24000</v>
      </c>
      <c r="BI111" s="47" t="s">
        <v>100</v>
      </c>
      <c r="BJ111" s="32" t="s">
        <v>309</v>
      </c>
      <c r="BK111" s="32">
        <v>500</v>
      </c>
      <c r="BL111" s="26" t="s">
        <v>106</v>
      </c>
      <c r="BM111" s="26" t="s">
        <v>107</v>
      </c>
      <c r="BN111" s="209">
        <v>0</v>
      </c>
      <c r="BO111" s="26" t="s">
        <v>108</v>
      </c>
      <c r="BP111" s="34" t="s">
        <v>109</v>
      </c>
      <c r="BQ111" s="209">
        <v>4000</v>
      </c>
      <c r="BR111" s="26" t="s">
        <v>108</v>
      </c>
      <c r="BS111" s="34" t="s">
        <v>110</v>
      </c>
      <c r="BT111" s="209">
        <v>5500</v>
      </c>
      <c r="BU111" s="211">
        <v>11000</v>
      </c>
      <c r="BV111" s="212" t="s">
        <v>100</v>
      </c>
      <c r="BW111" s="212" t="s">
        <v>286</v>
      </c>
      <c r="BX111" s="213" t="s">
        <v>100</v>
      </c>
      <c r="BY111" s="213" t="s">
        <v>100</v>
      </c>
      <c r="BZ111" s="45">
        <v>2000</v>
      </c>
    </row>
    <row r="112" spans="1:78" ht="26.25" thickBot="1">
      <c r="A112" s="266" t="s">
        <v>118</v>
      </c>
      <c r="B112" s="266" t="s">
        <v>171</v>
      </c>
      <c r="C112" s="1"/>
      <c r="D112" s="296"/>
      <c r="E112" s="305"/>
      <c r="F112" s="308"/>
      <c r="G112" s="67">
        <v>470</v>
      </c>
      <c r="H112" s="68">
        <v>375</v>
      </c>
      <c r="I112" s="68">
        <v>6000</v>
      </c>
      <c r="J112" s="68">
        <v>6000</v>
      </c>
      <c r="K112" s="68">
        <v>50</v>
      </c>
      <c r="L112" s="68">
        <v>47</v>
      </c>
      <c r="M112" s="103" t="s">
        <v>220</v>
      </c>
      <c r="N112" s="69">
        <v>162485</v>
      </c>
      <c r="O112" s="68" t="s">
        <v>89</v>
      </c>
      <c r="P112" s="68">
        <v>5</v>
      </c>
      <c r="Q112" s="70" t="s">
        <v>198</v>
      </c>
      <c r="R112" s="70" t="s">
        <v>91</v>
      </c>
      <c r="S112" s="70" t="s">
        <v>199</v>
      </c>
      <c r="T112" s="71" t="s">
        <v>92</v>
      </c>
      <c r="U112" s="71" t="s">
        <v>93</v>
      </c>
      <c r="V112" s="68" t="s">
        <v>94</v>
      </c>
      <c r="W112" s="68">
        <v>31</v>
      </c>
      <c r="X112" s="72" t="s">
        <v>95</v>
      </c>
      <c r="Y112" s="72" t="s">
        <v>96</v>
      </c>
      <c r="Z112" s="104">
        <v>8000</v>
      </c>
      <c r="AA112" s="103" t="s">
        <v>201</v>
      </c>
      <c r="AB112" s="104">
        <v>2900</v>
      </c>
      <c r="AC112" s="68" t="s">
        <v>97</v>
      </c>
      <c r="AD112" s="73" t="s">
        <v>97</v>
      </c>
      <c r="AE112" s="35"/>
      <c r="AF112" s="37">
        <v>152736</v>
      </c>
      <c r="AG112" s="29" t="s">
        <v>98</v>
      </c>
      <c r="AH112" s="226">
        <v>15436</v>
      </c>
      <c r="AI112" s="48" t="s">
        <v>220</v>
      </c>
      <c r="AJ112" s="39">
        <v>8000</v>
      </c>
      <c r="AK112" s="39" t="s">
        <v>201</v>
      </c>
      <c r="AL112" s="39">
        <v>2900</v>
      </c>
      <c r="AM112" s="30" t="s">
        <v>94</v>
      </c>
      <c r="AN112" s="40">
        <v>53200</v>
      </c>
      <c r="AO112" s="41" t="s">
        <v>331</v>
      </c>
      <c r="AP112" s="41" t="s">
        <v>332</v>
      </c>
      <c r="AQ112" s="27">
        <v>3000</v>
      </c>
      <c r="AR112" s="27" t="s">
        <v>94</v>
      </c>
      <c r="AS112" s="27">
        <v>900</v>
      </c>
      <c r="AT112" s="29">
        <v>41</v>
      </c>
      <c r="AU112" s="29" t="s">
        <v>100</v>
      </c>
      <c r="AV112" s="31">
        <v>42</v>
      </c>
      <c r="AW112" s="31" t="s">
        <v>100</v>
      </c>
      <c r="AX112" s="209"/>
      <c r="AY112" s="285"/>
      <c r="AZ112" s="285"/>
      <c r="BA112" s="286"/>
      <c r="BB112" s="286"/>
      <c r="BC112" s="44" t="s">
        <v>204</v>
      </c>
      <c r="BD112" s="33" t="s">
        <v>103</v>
      </c>
      <c r="BE112" s="271" t="s">
        <v>104</v>
      </c>
      <c r="BF112" s="271" t="s">
        <v>105</v>
      </c>
      <c r="BG112" s="269">
        <v>0</v>
      </c>
      <c r="BH112" s="42">
        <v>24000</v>
      </c>
      <c r="BI112" s="47" t="s">
        <v>100</v>
      </c>
      <c r="BJ112" s="32" t="s">
        <v>309</v>
      </c>
      <c r="BK112" s="32">
        <v>500</v>
      </c>
      <c r="BL112" s="26" t="s">
        <v>106</v>
      </c>
      <c r="BM112" s="26" t="s">
        <v>107</v>
      </c>
      <c r="BN112" s="209">
        <v>0</v>
      </c>
      <c r="BO112" s="26" t="s">
        <v>108</v>
      </c>
      <c r="BP112" s="34" t="s">
        <v>109</v>
      </c>
      <c r="BQ112" s="209">
        <v>4000</v>
      </c>
      <c r="BR112" s="26" t="s">
        <v>108</v>
      </c>
      <c r="BS112" s="34" t="s">
        <v>110</v>
      </c>
      <c r="BT112" s="209">
        <v>5500</v>
      </c>
      <c r="BU112" s="211">
        <v>11000</v>
      </c>
      <c r="BV112" s="212" t="s">
        <v>100</v>
      </c>
      <c r="BW112" s="212" t="s">
        <v>286</v>
      </c>
      <c r="BX112" s="213" t="s">
        <v>100</v>
      </c>
      <c r="BY112" s="213" t="s">
        <v>100</v>
      </c>
      <c r="BZ112" s="45">
        <v>2000</v>
      </c>
    </row>
    <row r="113" spans="1:78" ht="26.25" thickBot="1">
      <c r="A113" s="272" t="s">
        <v>119</v>
      </c>
      <c r="B113" s="273" t="s">
        <v>173</v>
      </c>
      <c r="C113" s="1"/>
      <c r="D113" s="296"/>
      <c r="E113" s="305"/>
      <c r="F113" s="308"/>
      <c r="G113" s="74">
        <v>500</v>
      </c>
      <c r="H113" s="62">
        <v>400</v>
      </c>
      <c r="I113" s="62">
        <v>6000</v>
      </c>
      <c r="J113" s="62">
        <v>6000</v>
      </c>
      <c r="K113" s="62">
        <v>50</v>
      </c>
      <c r="L113" s="62">
        <v>50</v>
      </c>
      <c r="M113" s="101" t="s">
        <v>220</v>
      </c>
      <c r="N113" s="63">
        <v>162607</v>
      </c>
      <c r="O113" s="62" t="s">
        <v>89</v>
      </c>
      <c r="P113" s="62">
        <v>5</v>
      </c>
      <c r="Q113" s="64" t="s">
        <v>198</v>
      </c>
      <c r="R113" s="64" t="s">
        <v>91</v>
      </c>
      <c r="S113" s="64" t="s">
        <v>199</v>
      </c>
      <c r="T113" s="65" t="s">
        <v>92</v>
      </c>
      <c r="U113" s="65" t="s">
        <v>93</v>
      </c>
      <c r="V113" s="62" t="s">
        <v>94</v>
      </c>
      <c r="W113" s="62">
        <v>31</v>
      </c>
      <c r="X113" s="66" t="s">
        <v>95</v>
      </c>
      <c r="Y113" s="66" t="s">
        <v>96</v>
      </c>
      <c r="Z113" s="102">
        <v>8000</v>
      </c>
      <c r="AA113" s="101" t="s">
        <v>201</v>
      </c>
      <c r="AB113" s="102">
        <v>2900</v>
      </c>
      <c r="AC113" s="62" t="s">
        <v>97</v>
      </c>
      <c r="AD113" s="75" t="s">
        <v>97</v>
      </c>
      <c r="AE113" s="35"/>
      <c r="AF113" s="37">
        <v>152851</v>
      </c>
      <c r="AG113" s="29" t="s">
        <v>98</v>
      </c>
      <c r="AH113" s="226">
        <v>15448</v>
      </c>
      <c r="AI113" s="48" t="s">
        <v>220</v>
      </c>
      <c r="AJ113" s="39">
        <v>8000</v>
      </c>
      <c r="AK113" s="39" t="s">
        <v>201</v>
      </c>
      <c r="AL113" s="39">
        <v>2900</v>
      </c>
      <c r="AM113" s="30" t="s">
        <v>94</v>
      </c>
      <c r="AN113" s="40">
        <v>53200</v>
      </c>
      <c r="AO113" s="41" t="s">
        <v>331</v>
      </c>
      <c r="AP113" s="41" t="s">
        <v>332</v>
      </c>
      <c r="AQ113" s="27">
        <v>3000</v>
      </c>
      <c r="AR113" s="27" t="s">
        <v>94</v>
      </c>
      <c r="AS113" s="27">
        <v>900</v>
      </c>
      <c r="AT113" s="29">
        <v>41</v>
      </c>
      <c r="AU113" s="29" t="s">
        <v>100</v>
      </c>
      <c r="AV113" s="31">
        <v>42</v>
      </c>
      <c r="AW113" s="31" t="s">
        <v>100</v>
      </c>
      <c r="AX113" s="209"/>
      <c r="AY113" s="285"/>
      <c r="AZ113" s="285"/>
      <c r="BA113" s="286"/>
      <c r="BB113" s="286"/>
      <c r="BC113" s="44" t="s">
        <v>204</v>
      </c>
      <c r="BD113" s="33" t="s">
        <v>103</v>
      </c>
      <c r="BE113" s="271" t="s">
        <v>104</v>
      </c>
      <c r="BF113" s="271" t="s">
        <v>105</v>
      </c>
      <c r="BG113" s="269">
        <v>0</v>
      </c>
      <c r="BH113" s="42">
        <v>24000</v>
      </c>
      <c r="BI113" s="47" t="s">
        <v>100</v>
      </c>
      <c r="BJ113" s="32" t="s">
        <v>309</v>
      </c>
      <c r="BK113" s="32">
        <v>500</v>
      </c>
      <c r="BL113" s="26" t="s">
        <v>106</v>
      </c>
      <c r="BM113" s="26" t="s">
        <v>107</v>
      </c>
      <c r="BN113" s="209">
        <v>0</v>
      </c>
      <c r="BO113" s="26" t="s">
        <v>108</v>
      </c>
      <c r="BP113" s="34" t="s">
        <v>109</v>
      </c>
      <c r="BQ113" s="209">
        <v>4000</v>
      </c>
      <c r="BR113" s="26" t="s">
        <v>108</v>
      </c>
      <c r="BS113" s="34" t="s">
        <v>110</v>
      </c>
      <c r="BT113" s="209">
        <v>5500</v>
      </c>
      <c r="BU113" s="211">
        <v>11000</v>
      </c>
      <c r="BV113" s="212" t="s">
        <v>100</v>
      </c>
      <c r="BW113" s="212" t="s">
        <v>286</v>
      </c>
      <c r="BX113" s="213" t="s">
        <v>100</v>
      </c>
      <c r="BY113" s="213" t="s">
        <v>100</v>
      </c>
      <c r="BZ113" s="45">
        <v>2000</v>
      </c>
    </row>
    <row r="114" spans="1:78" ht="26.25" thickBot="1">
      <c r="A114" s="274" t="s">
        <v>120</v>
      </c>
      <c r="B114" s="275" t="s">
        <v>335</v>
      </c>
      <c r="C114" s="1"/>
      <c r="D114" s="296"/>
      <c r="E114" s="305"/>
      <c r="F114" s="308"/>
      <c r="G114" s="74">
        <v>535</v>
      </c>
      <c r="H114" s="62">
        <v>425</v>
      </c>
      <c r="I114" s="62">
        <v>6000</v>
      </c>
      <c r="J114" s="62">
        <v>6000</v>
      </c>
      <c r="K114" s="62">
        <v>50</v>
      </c>
      <c r="L114" s="62">
        <v>53</v>
      </c>
      <c r="M114" s="101" t="s">
        <v>220</v>
      </c>
      <c r="N114" s="63">
        <v>163273</v>
      </c>
      <c r="O114" s="62" t="s">
        <v>89</v>
      </c>
      <c r="P114" s="62">
        <v>5</v>
      </c>
      <c r="Q114" s="64" t="s">
        <v>198</v>
      </c>
      <c r="R114" s="64" t="s">
        <v>91</v>
      </c>
      <c r="S114" s="64" t="s">
        <v>199</v>
      </c>
      <c r="T114" s="65" t="s">
        <v>92</v>
      </c>
      <c r="U114" s="65" t="s">
        <v>93</v>
      </c>
      <c r="V114" s="62" t="s">
        <v>94</v>
      </c>
      <c r="W114" s="62">
        <v>31</v>
      </c>
      <c r="X114" s="66" t="s">
        <v>95</v>
      </c>
      <c r="Y114" s="66" t="s">
        <v>96</v>
      </c>
      <c r="Z114" s="102">
        <v>8000</v>
      </c>
      <c r="AA114" s="101" t="s">
        <v>201</v>
      </c>
      <c r="AB114" s="102">
        <v>2900</v>
      </c>
      <c r="AC114" s="62" t="s">
        <v>97</v>
      </c>
      <c r="AD114" s="75" t="s">
        <v>97</v>
      </c>
      <c r="AE114" s="35"/>
      <c r="AF114" s="37">
        <v>153477</v>
      </c>
      <c r="AG114" s="29" t="s">
        <v>98</v>
      </c>
      <c r="AH114" s="226">
        <v>15511</v>
      </c>
      <c r="AI114" s="48" t="s">
        <v>220</v>
      </c>
      <c r="AJ114" s="39">
        <v>8000</v>
      </c>
      <c r="AK114" s="39" t="s">
        <v>201</v>
      </c>
      <c r="AL114" s="39">
        <v>2900</v>
      </c>
      <c r="AM114" s="30" t="s">
        <v>94</v>
      </c>
      <c r="AN114" s="40">
        <v>53200</v>
      </c>
      <c r="AO114" s="41" t="s">
        <v>331</v>
      </c>
      <c r="AP114" s="41" t="s">
        <v>332</v>
      </c>
      <c r="AQ114" s="27">
        <v>3000</v>
      </c>
      <c r="AR114" s="27" t="s">
        <v>94</v>
      </c>
      <c r="AS114" s="27">
        <v>900</v>
      </c>
      <c r="AT114" s="29">
        <v>41</v>
      </c>
      <c r="AU114" s="29" t="s">
        <v>100</v>
      </c>
      <c r="AV114" s="31">
        <v>42</v>
      </c>
      <c r="AW114" s="31" t="s">
        <v>100</v>
      </c>
      <c r="AX114" s="209"/>
      <c r="AY114" s="285"/>
      <c r="AZ114" s="285"/>
      <c r="BA114" s="286"/>
      <c r="BB114" s="286"/>
      <c r="BC114" s="44" t="s">
        <v>204</v>
      </c>
      <c r="BD114" s="33" t="s">
        <v>103</v>
      </c>
      <c r="BE114" s="271" t="s">
        <v>104</v>
      </c>
      <c r="BF114" s="271" t="s">
        <v>105</v>
      </c>
      <c r="BG114" s="269">
        <v>0</v>
      </c>
      <c r="BH114" s="42">
        <v>24000</v>
      </c>
      <c r="BI114" s="47" t="s">
        <v>100</v>
      </c>
      <c r="BJ114" s="32" t="s">
        <v>309</v>
      </c>
      <c r="BK114" s="32">
        <v>500</v>
      </c>
      <c r="BL114" s="26" t="s">
        <v>106</v>
      </c>
      <c r="BM114" s="26" t="s">
        <v>107</v>
      </c>
      <c r="BN114" s="209">
        <v>0</v>
      </c>
      <c r="BO114" s="26" t="s">
        <v>108</v>
      </c>
      <c r="BP114" s="34" t="s">
        <v>109</v>
      </c>
      <c r="BQ114" s="209">
        <v>4000</v>
      </c>
      <c r="BR114" s="26" t="s">
        <v>108</v>
      </c>
      <c r="BS114" s="34" t="s">
        <v>110</v>
      </c>
      <c r="BT114" s="209">
        <v>5500</v>
      </c>
      <c r="BU114" s="211">
        <v>11000</v>
      </c>
      <c r="BV114" s="212" t="s">
        <v>100</v>
      </c>
      <c r="BW114" s="212" t="s">
        <v>286</v>
      </c>
      <c r="BX114" s="213" t="s">
        <v>100</v>
      </c>
      <c r="BY114" s="213" t="s">
        <v>100</v>
      </c>
      <c r="BZ114" s="45">
        <v>2000</v>
      </c>
    </row>
    <row r="115" spans="1:78" ht="39" thickBot="1">
      <c r="A115" s="265" t="s">
        <v>137</v>
      </c>
      <c r="B115" s="265" t="s">
        <v>174</v>
      </c>
      <c r="C115" s="1"/>
      <c r="D115" s="296"/>
      <c r="E115" s="305"/>
      <c r="F115" s="308"/>
      <c r="G115" s="74">
        <v>565</v>
      </c>
      <c r="H115" s="62">
        <v>450</v>
      </c>
      <c r="I115" s="62">
        <v>6000</v>
      </c>
      <c r="J115" s="62">
        <v>6000</v>
      </c>
      <c r="K115" s="62">
        <v>50</v>
      </c>
      <c r="L115" s="62">
        <v>56</v>
      </c>
      <c r="M115" s="101" t="s">
        <v>220</v>
      </c>
      <c r="N115" s="63">
        <v>163543</v>
      </c>
      <c r="O115" s="62" t="s">
        <v>89</v>
      </c>
      <c r="P115" s="62">
        <v>5</v>
      </c>
      <c r="Q115" s="64" t="s">
        <v>198</v>
      </c>
      <c r="R115" s="64" t="s">
        <v>91</v>
      </c>
      <c r="S115" s="64" t="s">
        <v>199</v>
      </c>
      <c r="T115" s="65" t="s">
        <v>92</v>
      </c>
      <c r="U115" s="65" t="s">
        <v>93</v>
      </c>
      <c r="V115" s="62" t="s">
        <v>94</v>
      </c>
      <c r="W115" s="62">
        <v>31</v>
      </c>
      <c r="X115" s="66" t="s">
        <v>95</v>
      </c>
      <c r="Y115" s="66" t="s">
        <v>96</v>
      </c>
      <c r="Z115" s="102">
        <v>8000</v>
      </c>
      <c r="AA115" s="101" t="s">
        <v>201</v>
      </c>
      <c r="AB115" s="102">
        <v>2900</v>
      </c>
      <c r="AC115" s="62" t="s">
        <v>97</v>
      </c>
      <c r="AD115" s="75" t="s">
        <v>97</v>
      </c>
      <c r="AE115" s="35"/>
      <c r="AF115" s="37">
        <v>153730</v>
      </c>
      <c r="AG115" s="29" t="s">
        <v>98</v>
      </c>
      <c r="AH115" s="226">
        <v>15537</v>
      </c>
      <c r="AI115" s="48" t="s">
        <v>220</v>
      </c>
      <c r="AJ115" s="39">
        <v>8000</v>
      </c>
      <c r="AK115" s="39" t="s">
        <v>201</v>
      </c>
      <c r="AL115" s="39">
        <v>2900</v>
      </c>
      <c r="AM115" s="30" t="s">
        <v>94</v>
      </c>
      <c r="AN115" s="40">
        <v>53200</v>
      </c>
      <c r="AO115" s="41" t="s">
        <v>331</v>
      </c>
      <c r="AP115" s="41" t="s">
        <v>332</v>
      </c>
      <c r="AQ115" s="27">
        <v>3000</v>
      </c>
      <c r="AR115" s="27" t="s">
        <v>94</v>
      </c>
      <c r="AS115" s="27">
        <v>900</v>
      </c>
      <c r="AT115" s="29">
        <v>41</v>
      </c>
      <c r="AU115" s="29" t="s">
        <v>100</v>
      </c>
      <c r="AV115" s="31">
        <v>42</v>
      </c>
      <c r="AW115" s="31" t="s">
        <v>100</v>
      </c>
      <c r="AX115" s="209"/>
      <c r="AY115" s="285"/>
      <c r="AZ115" s="285"/>
      <c r="BA115" s="286"/>
      <c r="BB115" s="286"/>
      <c r="BC115" s="44" t="s">
        <v>204</v>
      </c>
      <c r="BD115" s="33" t="s">
        <v>103</v>
      </c>
      <c r="BE115" s="271" t="s">
        <v>104</v>
      </c>
      <c r="BF115" s="271" t="s">
        <v>105</v>
      </c>
      <c r="BG115" s="269">
        <v>0</v>
      </c>
      <c r="BH115" s="42">
        <v>24000</v>
      </c>
      <c r="BI115" s="47" t="s">
        <v>100</v>
      </c>
      <c r="BJ115" s="32" t="s">
        <v>309</v>
      </c>
      <c r="BK115" s="32">
        <v>500</v>
      </c>
      <c r="BL115" s="26" t="s">
        <v>106</v>
      </c>
      <c r="BM115" s="26" t="s">
        <v>107</v>
      </c>
      <c r="BN115" s="209">
        <v>0</v>
      </c>
      <c r="BO115" s="26" t="s">
        <v>108</v>
      </c>
      <c r="BP115" s="34" t="s">
        <v>109</v>
      </c>
      <c r="BQ115" s="209">
        <v>4000</v>
      </c>
      <c r="BR115" s="26" t="s">
        <v>108</v>
      </c>
      <c r="BS115" s="34" t="s">
        <v>110</v>
      </c>
      <c r="BT115" s="209">
        <v>5500</v>
      </c>
      <c r="BU115" s="211">
        <v>11000</v>
      </c>
      <c r="BV115" s="212" t="s">
        <v>100</v>
      </c>
      <c r="BW115" s="212" t="s">
        <v>286</v>
      </c>
      <c r="BX115" s="213" t="s">
        <v>100</v>
      </c>
      <c r="BY115" s="213" t="s">
        <v>100</v>
      </c>
      <c r="BZ115" s="45">
        <v>2000</v>
      </c>
    </row>
    <row r="116" spans="1:78" ht="26.25" thickBot="1">
      <c r="A116" s="214"/>
      <c r="B116" s="215"/>
      <c r="C116" s="1"/>
      <c r="D116" s="296"/>
      <c r="E116" s="305"/>
      <c r="F116" s="308"/>
      <c r="G116" s="74">
        <v>625</v>
      </c>
      <c r="H116" s="62">
        <v>500</v>
      </c>
      <c r="I116" s="62">
        <v>6000</v>
      </c>
      <c r="J116" s="62">
        <v>6000</v>
      </c>
      <c r="K116" s="62">
        <v>50</v>
      </c>
      <c r="L116" s="62">
        <v>63</v>
      </c>
      <c r="M116" s="101" t="s">
        <v>220</v>
      </c>
      <c r="N116" s="63">
        <v>165329</v>
      </c>
      <c r="O116" s="62" t="s">
        <v>89</v>
      </c>
      <c r="P116" s="62">
        <v>5</v>
      </c>
      <c r="Q116" s="64" t="s">
        <v>198</v>
      </c>
      <c r="R116" s="64" t="s">
        <v>91</v>
      </c>
      <c r="S116" s="64" t="s">
        <v>199</v>
      </c>
      <c r="T116" s="65" t="s">
        <v>92</v>
      </c>
      <c r="U116" s="65" t="s">
        <v>93</v>
      </c>
      <c r="V116" s="62" t="s">
        <v>94</v>
      </c>
      <c r="W116" s="62">
        <v>31</v>
      </c>
      <c r="X116" s="66" t="s">
        <v>95</v>
      </c>
      <c r="Y116" s="66" t="s">
        <v>96</v>
      </c>
      <c r="Z116" s="102">
        <v>8000</v>
      </c>
      <c r="AA116" s="101" t="s">
        <v>201</v>
      </c>
      <c r="AB116" s="102">
        <v>2900</v>
      </c>
      <c r="AC116" s="62" t="s">
        <v>97</v>
      </c>
      <c r="AD116" s="75" t="s">
        <v>97</v>
      </c>
      <c r="AE116" s="35"/>
      <c r="AF116" s="37">
        <v>155409</v>
      </c>
      <c r="AG116" s="29" t="s">
        <v>98</v>
      </c>
      <c r="AH116" s="226">
        <v>15706</v>
      </c>
      <c r="AI116" s="48" t="s">
        <v>220</v>
      </c>
      <c r="AJ116" s="39">
        <v>8000</v>
      </c>
      <c r="AK116" s="39" t="s">
        <v>201</v>
      </c>
      <c r="AL116" s="39">
        <v>2900</v>
      </c>
      <c r="AM116" s="30" t="s">
        <v>94</v>
      </c>
      <c r="AN116" s="40">
        <v>53200</v>
      </c>
      <c r="AO116" s="41" t="s">
        <v>331</v>
      </c>
      <c r="AP116" s="41" t="s">
        <v>332</v>
      </c>
      <c r="AQ116" s="27">
        <v>3000</v>
      </c>
      <c r="AR116" s="27" t="s">
        <v>94</v>
      </c>
      <c r="AS116" s="27">
        <v>900</v>
      </c>
      <c r="AT116" s="29">
        <v>41</v>
      </c>
      <c r="AU116" s="29" t="s">
        <v>100</v>
      </c>
      <c r="AV116" s="31">
        <v>42</v>
      </c>
      <c r="AW116" s="31" t="s">
        <v>100</v>
      </c>
      <c r="AX116" s="209"/>
      <c r="AY116" s="285"/>
      <c r="AZ116" s="285"/>
      <c r="BA116" s="286"/>
      <c r="BB116" s="286"/>
      <c r="BC116" s="44" t="s">
        <v>204</v>
      </c>
      <c r="BD116" s="33" t="s">
        <v>103</v>
      </c>
      <c r="BE116" s="271" t="s">
        <v>104</v>
      </c>
      <c r="BF116" s="271" t="s">
        <v>105</v>
      </c>
      <c r="BG116" s="269">
        <v>0</v>
      </c>
      <c r="BH116" s="42">
        <v>24000</v>
      </c>
      <c r="BI116" s="47" t="s">
        <v>100</v>
      </c>
      <c r="BJ116" s="32" t="s">
        <v>309</v>
      </c>
      <c r="BK116" s="32">
        <v>500</v>
      </c>
      <c r="BL116" s="26" t="s">
        <v>106</v>
      </c>
      <c r="BM116" s="26" t="s">
        <v>107</v>
      </c>
      <c r="BN116" s="209">
        <v>0</v>
      </c>
      <c r="BO116" s="26" t="s">
        <v>108</v>
      </c>
      <c r="BP116" s="34" t="s">
        <v>109</v>
      </c>
      <c r="BQ116" s="209">
        <v>4000</v>
      </c>
      <c r="BR116" s="26" t="s">
        <v>108</v>
      </c>
      <c r="BS116" s="34" t="s">
        <v>110</v>
      </c>
      <c r="BT116" s="209">
        <v>5500</v>
      </c>
      <c r="BU116" s="211">
        <v>11000</v>
      </c>
      <c r="BV116" s="212" t="s">
        <v>100</v>
      </c>
      <c r="BW116" s="212" t="s">
        <v>286</v>
      </c>
      <c r="BX116" s="213" t="s">
        <v>100</v>
      </c>
      <c r="BY116" s="213" t="s">
        <v>100</v>
      </c>
      <c r="BZ116" s="45">
        <v>2000</v>
      </c>
    </row>
    <row r="117" spans="1:78" ht="26.25" customHeight="1" thickBot="1">
      <c r="A117" s="118" t="s">
        <v>134</v>
      </c>
      <c r="B117" s="181" t="s">
        <v>336</v>
      </c>
      <c r="C117" s="1"/>
      <c r="D117" s="296"/>
      <c r="E117" s="305"/>
      <c r="F117" s="308"/>
      <c r="G117" s="74">
        <v>665</v>
      </c>
      <c r="H117" s="62">
        <v>530</v>
      </c>
      <c r="I117" s="62">
        <v>6000</v>
      </c>
      <c r="J117" s="62">
        <v>6000</v>
      </c>
      <c r="K117" s="62">
        <v>50</v>
      </c>
      <c r="L117" s="62">
        <v>66</v>
      </c>
      <c r="M117" s="101" t="s">
        <v>220</v>
      </c>
      <c r="N117" s="63">
        <v>174867</v>
      </c>
      <c r="O117" s="62" t="s">
        <v>89</v>
      </c>
      <c r="P117" s="62">
        <v>5</v>
      </c>
      <c r="Q117" s="64" t="s">
        <v>198</v>
      </c>
      <c r="R117" s="64" t="s">
        <v>91</v>
      </c>
      <c r="S117" s="64" t="s">
        <v>199</v>
      </c>
      <c r="T117" s="65" t="s">
        <v>92</v>
      </c>
      <c r="U117" s="65" t="s">
        <v>93</v>
      </c>
      <c r="V117" s="62" t="s">
        <v>94</v>
      </c>
      <c r="W117" s="62">
        <v>31</v>
      </c>
      <c r="X117" s="66" t="s">
        <v>95</v>
      </c>
      <c r="Y117" s="66" t="s">
        <v>96</v>
      </c>
      <c r="Z117" s="102">
        <v>8000</v>
      </c>
      <c r="AA117" s="101" t="s">
        <v>201</v>
      </c>
      <c r="AB117" s="102">
        <v>2900</v>
      </c>
      <c r="AC117" s="62" t="s">
        <v>97</v>
      </c>
      <c r="AD117" s="75" t="s">
        <v>97</v>
      </c>
      <c r="AE117" s="35"/>
      <c r="AF117" s="37">
        <v>164375</v>
      </c>
      <c r="AG117" s="29" t="s">
        <v>98</v>
      </c>
      <c r="AH117" s="226">
        <v>16612</v>
      </c>
      <c r="AI117" s="48" t="s">
        <v>220</v>
      </c>
      <c r="AJ117" s="39">
        <v>8000</v>
      </c>
      <c r="AK117" s="39" t="s">
        <v>201</v>
      </c>
      <c r="AL117" s="39">
        <v>2900</v>
      </c>
      <c r="AM117" s="30" t="s">
        <v>94</v>
      </c>
      <c r="AN117" s="40">
        <v>53200</v>
      </c>
      <c r="AO117" s="41" t="s">
        <v>331</v>
      </c>
      <c r="AP117" s="41" t="s">
        <v>332</v>
      </c>
      <c r="AQ117" s="27">
        <v>3000</v>
      </c>
      <c r="AR117" s="27" t="s">
        <v>94</v>
      </c>
      <c r="AS117" s="27">
        <v>900</v>
      </c>
      <c r="AT117" s="29">
        <v>41</v>
      </c>
      <c r="AU117" s="29" t="s">
        <v>100</v>
      </c>
      <c r="AV117" s="31">
        <v>42</v>
      </c>
      <c r="AW117" s="31" t="s">
        <v>100</v>
      </c>
      <c r="AX117" s="209"/>
      <c r="AY117" s="285"/>
      <c r="AZ117" s="285"/>
      <c r="BA117" s="286"/>
      <c r="BB117" s="286"/>
      <c r="BC117" s="44" t="s">
        <v>204</v>
      </c>
      <c r="BD117" s="33" t="s">
        <v>103</v>
      </c>
      <c r="BE117" s="271" t="s">
        <v>104</v>
      </c>
      <c r="BF117" s="271" t="s">
        <v>105</v>
      </c>
      <c r="BG117" s="269">
        <v>0</v>
      </c>
      <c r="BH117" s="42">
        <v>24000</v>
      </c>
      <c r="BI117" s="47" t="s">
        <v>100</v>
      </c>
      <c r="BJ117" s="32" t="s">
        <v>309</v>
      </c>
      <c r="BK117" s="32">
        <v>500</v>
      </c>
      <c r="BL117" s="26" t="s">
        <v>106</v>
      </c>
      <c r="BM117" s="26" t="s">
        <v>107</v>
      </c>
      <c r="BN117" s="209">
        <v>0</v>
      </c>
      <c r="BO117" s="26" t="s">
        <v>108</v>
      </c>
      <c r="BP117" s="34" t="s">
        <v>109</v>
      </c>
      <c r="BQ117" s="209">
        <v>4000</v>
      </c>
      <c r="BR117" s="26" t="s">
        <v>108</v>
      </c>
      <c r="BS117" s="34" t="s">
        <v>110</v>
      </c>
      <c r="BT117" s="209">
        <v>5500</v>
      </c>
      <c r="BU117" s="211">
        <v>11000</v>
      </c>
      <c r="BV117" s="212" t="s">
        <v>100</v>
      </c>
      <c r="BW117" s="212" t="s">
        <v>286</v>
      </c>
      <c r="BX117" s="213" t="s">
        <v>100</v>
      </c>
      <c r="BY117" s="213" t="s">
        <v>100</v>
      </c>
      <c r="BZ117" s="45">
        <v>2000</v>
      </c>
    </row>
    <row r="118" spans="1:78" ht="26.25" thickBot="1">
      <c r="A118" s="118" t="s">
        <v>135</v>
      </c>
      <c r="B118" s="120" t="s">
        <v>175</v>
      </c>
      <c r="C118" s="1"/>
      <c r="D118" s="296"/>
      <c r="E118" s="305"/>
      <c r="F118" s="308"/>
      <c r="G118" s="76">
        <v>700</v>
      </c>
      <c r="H118" s="77">
        <v>560</v>
      </c>
      <c r="I118" s="77">
        <v>6000</v>
      </c>
      <c r="J118" s="77">
        <v>6000</v>
      </c>
      <c r="K118" s="77">
        <v>50</v>
      </c>
      <c r="L118" s="77">
        <v>70</v>
      </c>
      <c r="M118" s="136" t="s">
        <v>220</v>
      </c>
      <c r="N118" s="78">
        <v>175418</v>
      </c>
      <c r="O118" s="77" t="s">
        <v>89</v>
      </c>
      <c r="P118" s="77">
        <v>5</v>
      </c>
      <c r="Q118" s="79" t="s">
        <v>198</v>
      </c>
      <c r="R118" s="79" t="s">
        <v>91</v>
      </c>
      <c r="S118" s="79" t="s">
        <v>199</v>
      </c>
      <c r="T118" s="80" t="s">
        <v>92</v>
      </c>
      <c r="U118" s="80" t="s">
        <v>93</v>
      </c>
      <c r="V118" s="77" t="s">
        <v>94</v>
      </c>
      <c r="W118" s="77">
        <v>31</v>
      </c>
      <c r="X118" s="81" t="s">
        <v>95</v>
      </c>
      <c r="Y118" s="81" t="s">
        <v>96</v>
      </c>
      <c r="Z118" s="170">
        <v>8000</v>
      </c>
      <c r="AA118" s="136" t="s">
        <v>201</v>
      </c>
      <c r="AB118" s="170">
        <v>2900</v>
      </c>
      <c r="AC118" s="77" t="s">
        <v>97</v>
      </c>
      <c r="AD118" s="82" t="s">
        <v>97</v>
      </c>
      <c r="AE118" s="35"/>
      <c r="AF118" s="37">
        <v>164893</v>
      </c>
      <c r="AG118" s="29" t="s">
        <v>98</v>
      </c>
      <c r="AH118" s="218">
        <v>16665</v>
      </c>
      <c r="AI118" s="219" t="s">
        <v>220</v>
      </c>
      <c r="AJ118" s="220">
        <v>8000</v>
      </c>
      <c r="AK118" s="220" t="s">
        <v>201</v>
      </c>
      <c r="AL118" s="220">
        <v>2900</v>
      </c>
      <c r="AM118" s="221" t="s">
        <v>94</v>
      </c>
      <c r="AN118" s="40">
        <v>53200</v>
      </c>
      <c r="AO118" s="41" t="s">
        <v>331</v>
      </c>
      <c r="AP118" s="41" t="s">
        <v>332</v>
      </c>
      <c r="AQ118" s="27">
        <v>3000</v>
      </c>
      <c r="AR118" s="27" t="s">
        <v>94</v>
      </c>
      <c r="AS118" s="27">
        <v>900</v>
      </c>
      <c r="AT118" s="29">
        <v>41</v>
      </c>
      <c r="AU118" s="29" t="s">
        <v>100</v>
      </c>
      <c r="AV118" s="31">
        <v>42</v>
      </c>
      <c r="AW118" s="31" t="s">
        <v>100</v>
      </c>
      <c r="AX118" s="209"/>
      <c r="AY118" s="285"/>
      <c r="AZ118" s="285"/>
      <c r="BA118" s="286"/>
      <c r="BB118" s="286"/>
      <c r="BC118" s="44" t="s">
        <v>204</v>
      </c>
      <c r="BD118" s="33" t="s">
        <v>103</v>
      </c>
      <c r="BE118" s="271" t="s">
        <v>104</v>
      </c>
      <c r="BF118" s="271" t="s">
        <v>105</v>
      </c>
      <c r="BG118" s="269">
        <v>0</v>
      </c>
      <c r="BH118" s="42">
        <v>24000</v>
      </c>
      <c r="BI118" s="47" t="s">
        <v>100</v>
      </c>
      <c r="BJ118" s="32" t="s">
        <v>309</v>
      </c>
      <c r="BK118" s="32">
        <v>500</v>
      </c>
      <c r="BL118" s="26" t="s">
        <v>106</v>
      </c>
      <c r="BM118" s="26" t="s">
        <v>107</v>
      </c>
      <c r="BN118" s="209">
        <v>0</v>
      </c>
      <c r="BO118" s="26" t="s">
        <v>108</v>
      </c>
      <c r="BP118" s="34" t="s">
        <v>109</v>
      </c>
      <c r="BQ118" s="209">
        <v>4000</v>
      </c>
      <c r="BR118" s="26" t="s">
        <v>108</v>
      </c>
      <c r="BS118" s="34" t="s">
        <v>110</v>
      </c>
      <c r="BT118" s="209">
        <v>5500</v>
      </c>
      <c r="BU118" s="211">
        <v>11000</v>
      </c>
      <c r="BV118" s="212" t="s">
        <v>100</v>
      </c>
      <c r="BW118" s="212" t="s">
        <v>286</v>
      </c>
      <c r="BX118" s="213" t="s">
        <v>100</v>
      </c>
      <c r="BY118" s="213" t="s">
        <v>100</v>
      </c>
      <c r="BZ118" s="45">
        <v>2000</v>
      </c>
    </row>
    <row r="119" spans="1:78" ht="26.25" thickBot="1">
      <c r="A119" s="118" t="s">
        <v>136</v>
      </c>
      <c r="B119" s="121" t="s">
        <v>176</v>
      </c>
      <c r="C119" s="1"/>
      <c r="D119" s="296"/>
      <c r="E119" s="305"/>
      <c r="F119" s="308"/>
      <c r="G119" s="67">
        <v>750</v>
      </c>
      <c r="H119" s="68">
        <v>600</v>
      </c>
      <c r="I119" s="68">
        <v>6000</v>
      </c>
      <c r="J119" s="68">
        <v>6000</v>
      </c>
      <c r="K119" s="68">
        <v>50</v>
      </c>
      <c r="L119" s="68">
        <v>75</v>
      </c>
      <c r="M119" s="83" t="s">
        <v>221</v>
      </c>
      <c r="N119" s="69">
        <v>179991</v>
      </c>
      <c r="O119" s="68" t="s">
        <v>89</v>
      </c>
      <c r="P119" s="68">
        <v>5</v>
      </c>
      <c r="Q119" s="70" t="s">
        <v>198</v>
      </c>
      <c r="R119" s="70" t="s">
        <v>91</v>
      </c>
      <c r="S119" s="70" t="s">
        <v>199</v>
      </c>
      <c r="T119" s="71" t="s">
        <v>92</v>
      </c>
      <c r="U119" s="71" t="s">
        <v>93</v>
      </c>
      <c r="V119" s="68" t="s">
        <v>94</v>
      </c>
      <c r="W119" s="68">
        <v>31</v>
      </c>
      <c r="X119" s="72" t="s">
        <v>95</v>
      </c>
      <c r="Y119" s="72" t="s">
        <v>96</v>
      </c>
      <c r="Z119" s="86">
        <v>12000</v>
      </c>
      <c r="AA119" s="83" t="s">
        <v>202</v>
      </c>
      <c r="AB119" s="86">
        <v>3900</v>
      </c>
      <c r="AC119" s="68" t="s">
        <v>97</v>
      </c>
      <c r="AD119" s="73" t="s">
        <v>97</v>
      </c>
      <c r="AE119" s="35"/>
      <c r="AF119" s="37">
        <v>169192</v>
      </c>
      <c r="AG119" s="29" t="s">
        <v>98</v>
      </c>
      <c r="AH119" s="222">
        <v>17099</v>
      </c>
      <c r="AI119" s="223" t="s">
        <v>221</v>
      </c>
      <c r="AJ119" s="224">
        <v>12000</v>
      </c>
      <c r="AK119" s="224" t="s">
        <v>202</v>
      </c>
      <c r="AL119" s="224">
        <v>3900</v>
      </c>
      <c r="AM119" s="225" t="s">
        <v>94</v>
      </c>
      <c r="AN119" s="40">
        <v>53200</v>
      </c>
      <c r="AO119" s="41" t="s">
        <v>331</v>
      </c>
      <c r="AP119" s="41" t="s">
        <v>332</v>
      </c>
      <c r="AQ119" s="27">
        <v>3000</v>
      </c>
      <c r="AR119" s="27" t="s">
        <v>94</v>
      </c>
      <c r="AS119" s="27">
        <v>900</v>
      </c>
      <c r="AT119" s="29">
        <v>41</v>
      </c>
      <c r="AU119" s="29" t="s">
        <v>100</v>
      </c>
      <c r="AV119" s="31">
        <v>42</v>
      </c>
      <c r="AW119" s="31" t="s">
        <v>100</v>
      </c>
      <c r="AX119" s="209"/>
      <c r="AY119" s="285"/>
      <c r="AZ119" s="285"/>
      <c r="BA119" s="286"/>
      <c r="BB119" s="286"/>
      <c r="BC119" s="44" t="s">
        <v>204</v>
      </c>
      <c r="BD119" s="33" t="s">
        <v>103</v>
      </c>
      <c r="BE119" s="271" t="s">
        <v>104</v>
      </c>
      <c r="BF119" s="271" t="s">
        <v>105</v>
      </c>
      <c r="BG119" s="269">
        <v>0</v>
      </c>
      <c r="BH119" s="42">
        <v>24000</v>
      </c>
      <c r="BI119" s="47" t="s">
        <v>100</v>
      </c>
      <c r="BJ119" s="32" t="s">
        <v>101</v>
      </c>
      <c r="BK119" s="32" t="s">
        <v>100</v>
      </c>
      <c r="BL119" s="26" t="s">
        <v>106</v>
      </c>
      <c r="BM119" s="26" t="s">
        <v>107</v>
      </c>
      <c r="BN119" s="209">
        <v>0</v>
      </c>
      <c r="BO119" s="26" t="s">
        <v>108</v>
      </c>
      <c r="BP119" s="34" t="s">
        <v>109</v>
      </c>
      <c r="BQ119" s="209">
        <v>4000</v>
      </c>
      <c r="BR119" s="26" t="s">
        <v>108</v>
      </c>
      <c r="BS119" s="34" t="s">
        <v>110</v>
      </c>
      <c r="BT119" s="209">
        <v>5500</v>
      </c>
      <c r="BU119" s="211">
        <v>11000</v>
      </c>
      <c r="BV119" s="212" t="s">
        <v>100</v>
      </c>
      <c r="BW119" s="212" t="s">
        <v>286</v>
      </c>
      <c r="BX119" s="213" t="s">
        <v>100</v>
      </c>
      <c r="BY119" s="213" t="s">
        <v>100</v>
      </c>
      <c r="BZ119" s="45">
        <v>2000</v>
      </c>
    </row>
    <row r="120" spans="1:78" ht="26.25" thickBot="1">
      <c r="A120" s="276" t="s">
        <v>287</v>
      </c>
      <c r="B120" s="277" t="s">
        <v>340</v>
      </c>
      <c r="C120" s="1"/>
      <c r="D120" s="296"/>
      <c r="E120" s="305"/>
      <c r="F120" s="308"/>
      <c r="G120" s="74">
        <v>840</v>
      </c>
      <c r="H120" s="62">
        <v>670</v>
      </c>
      <c r="I120" s="62">
        <v>6000</v>
      </c>
      <c r="J120" s="62">
        <v>6000</v>
      </c>
      <c r="K120" s="62">
        <v>50</v>
      </c>
      <c r="L120" s="62">
        <v>84</v>
      </c>
      <c r="M120" s="84" t="s">
        <v>221</v>
      </c>
      <c r="N120" s="63">
        <v>185115</v>
      </c>
      <c r="O120" s="62" t="s">
        <v>89</v>
      </c>
      <c r="P120" s="62">
        <v>5</v>
      </c>
      <c r="Q120" s="64" t="s">
        <v>198</v>
      </c>
      <c r="R120" s="64" t="s">
        <v>91</v>
      </c>
      <c r="S120" s="64" t="s">
        <v>199</v>
      </c>
      <c r="T120" s="65" t="s">
        <v>92</v>
      </c>
      <c r="U120" s="65" t="s">
        <v>93</v>
      </c>
      <c r="V120" s="62" t="s">
        <v>94</v>
      </c>
      <c r="W120" s="62">
        <v>31</v>
      </c>
      <c r="X120" s="66" t="s">
        <v>95</v>
      </c>
      <c r="Y120" s="66" t="s">
        <v>96</v>
      </c>
      <c r="Z120" s="87">
        <v>12000</v>
      </c>
      <c r="AA120" s="84" t="s">
        <v>202</v>
      </c>
      <c r="AB120" s="87">
        <v>3900</v>
      </c>
      <c r="AC120" s="62" t="s">
        <v>97</v>
      </c>
      <c r="AD120" s="75" t="s">
        <v>97</v>
      </c>
      <c r="AE120" s="35"/>
      <c r="AF120" s="37">
        <v>174008</v>
      </c>
      <c r="AG120" s="29" t="s">
        <v>98</v>
      </c>
      <c r="AH120" s="226">
        <v>17586</v>
      </c>
      <c r="AI120" s="48" t="s">
        <v>221</v>
      </c>
      <c r="AJ120" s="39">
        <v>12000</v>
      </c>
      <c r="AK120" s="39" t="s">
        <v>202</v>
      </c>
      <c r="AL120" s="39">
        <v>3900</v>
      </c>
      <c r="AM120" s="30" t="s">
        <v>94</v>
      </c>
      <c r="AN120" s="40">
        <v>53200</v>
      </c>
      <c r="AO120" s="41" t="s">
        <v>331</v>
      </c>
      <c r="AP120" s="41" t="s">
        <v>332</v>
      </c>
      <c r="AQ120" s="27">
        <v>3000</v>
      </c>
      <c r="AR120" s="27" t="s">
        <v>94</v>
      </c>
      <c r="AS120" s="27">
        <v>900</v>
      </c>
      <c r="AT120" s="29">
        <v>41</v>
      </c>
      <c r="AU120" s="29" t="s">
        <v>100</v>
      </c>
      <c r="AV120" s="31">
        <v>42</v>
      </c>
      <c r="AW120" s="31" t="s">
        <v>100</v>
      </c>
      <c r="AX120" s="209"/>
      <c r="AY120" s="285"/>
      <c r="AZ120" s="285"/>
      <c r="BA120" s="286"/>
      <c r="BB120" s="286"/>
      <c r="BC120" s="44" t="s">
        <v>204</v>
      </c>
      <c r="BD120" s="33" t="s">
        <v>103</v>
      </c>
      <c r="BE120" s="271" t="s">
        <v>104</v>
      </c>
      <c r="BF120" s="271" t="s">
        <v>105</v>
      </c>
      <c r="BG120" s="269">
        <v>0</v>
      </c>
      <c r="BH120" s="42">
        <v>24000</v>
      </c>
      <c r="BI120" s="47" t="s">
        <v>100</v>
      </c>
      <c r="BJ120" s="32" t="s">
        <v>101</v>
      </c>
      <c r="BK120" s="32" t="s">
        <v>100</v>
      </c>
      <c r="BL120" s="26" t="s">
        <v>106</v>
      </c>
      <c r="BM120" s="26" t="s">
        <v>107</v>
      </c>
      <c r="BN120" s="209">
        <v>0</v>
      </c>
      <c r="BO120" s="26" t="s">
        <v>108</v>
      </c>
      <c r="BP120" s="34" t="s">
        <v>109</v>
      </c>
      <c r="BQ120" s="209">
        <v>4000</v>
      </c>
      <c r="BR120" s="26" t="s">
        <v>108</v>
      </c>
      <c r="BS120" s="34" t="s">
        <v>110</v>
      </c>
      <c r="BT120" s="209">
        <v>5500</v>
      </c>
      <c r="BU120" s="211">
        <v>11000</v>
      </c>
      <c r="BV120" s="212" t="s">
        <v>100</v>
      </c>
      <c r="BW120" s="212" t="s">
        <v>286</v>
      </c>
      <c r="BX120" s="213" t="s">
        <v>100</v>
      </c>
      <c r="BY120" s="213" t="s">
        <v>100</v>
      </c>
      <c r="BZ120" s="45">
        <v>2000</v>
      </c>
    </row>
    <row r="121" spans="1:78" ht="39" thickBot="1">
      <c r="A121" s="278" t="s">
        <v>341</v>
      </c>
      <c r="B121" s="279" t="s">
        <v>342</v>
      </c>
      <c r="C121" s="1"/>
      <c r="D121" s="296"/>
      <c r="E121" s="305"/>
      <c r="F121" s="308"/>
      <c r="G121" s="74">
        <v>890</v>
      </c>
      <c r="H121" s="62">
        <v>710</v>
      </c>
      <c r="I121" s="62">
        <v>6000</v>
      </c>
      <c r="J121" s="62">
        <v>6000</v>
      </c>
      <c r="K121" s="62">
        <v>50</v>
      </c>
      <c r="L121" s="62">
        <v>88</v>
      </c>
      <c r="M121" s="84" t="s">
        <v>221</v>
      </c>
      <c r="N121" s="63">
        <v>186096</v>
      </c>
      <c r="O121" s="62" t="s">
        <v>89</v>
      </c>
      <c r="P121" s="62">
        <v>5</v>
      </c>
      <c r="Q121" s="64" t="s">
        <v>198</v>
      </c>
      <c r="R121" s="64" t="s">
        <v>91</v>
      </c>
      <c r="S121" s="64" t="s">
        <v>199</v>
      </c>
      <c r="T121" s="65" t="s">
        <v>92</v>
      </c>
      <c r="U121" s="65" t="s">
        <v>93</v>
      </c>
      <c r="V121" s="62" t="s">
        <v>94</v>
      </c>
      <c r="W121" s="62">
        <v>31</v>
      </c>
      <c r="X121" s="66" t="s">
        <v>95</v>
      </c>
      <c r="Y121" s="66" t="s">
        <v>96</v>
      </c>
      <c r="Z121" s="87">
        <v>12000</v>
      </c>
      <c r="AA121" s="84" t="s">
        <v>202</v>
      </c>
      <c r="AB121" s="87">
        <v>3900</v>
      </c>
      <c r="AC121" s="62" t="s">
        <v>97</v>
      </c>
      <c r="AD121" s="75" t="s">
        <v>97</v>
      </c>
      <c r="AE121" s="35"/>
      <c r="AF121" s="37">
        <v>174930</v>
      </c>
      <c r="AG121" s="29" t="s">
        <v>98</v>
      </c>
      <c r="AH121" s="226">
        <v>17679</v>
      </c>
      <c r="AI121" s="48" t="s">
        <v>221</v>
      </c>
      <c r="AJ121" s="39">
        <v>12000</v>
      </c>
      <c r="AK121" s="39" t="s">
        <v>202</v>
      </c>
      <c r="AL121" s="39">
        <v>3900</v>
      </c>
      <c r="AM121" s="30" t="s">
        <v>94</v>
      </c>
      <c r="AN121" s="40">
        <v>53200</v>
      </c>
      <c r="AO121" s="41" t="s">
        <v>331</v>
      </c>
      <c r="AP121" s="41" t="s">
        <v>332</v>
      </c>
      <c r="AQ121" s="27">
        <v>3000</v>
      </c>
      <c r="AR121" s="27" t="s">
        <v>94</v>
      </c>
      <c r="AS121" s="27">
        <v>900</v>
      </c>
      <c r="AT121" s="29">
        <v>41</v>
      </c>
      <c r="AU121" s="29" t="s">
        <v>100</v>
      </c>
      <c r="AV121" s="31">
        <v>42</v>
      </c>
      <c r="AW121" s="31" t="s">
        <v>100</v>
      </c>
      <c r="AX121" s="209"/>
      <c r="AY121" s="285"/>
      <c r="AZ121" s="285"/>
      <c r="BA121" s="286"/>
      <c r="BB121" s="286"/>
      <c r="BC121" s="44" t="s">
        <v>204</v>
      </c>
      <c r="BD121" s="33" t="s">
        <v>103</v>
      </c>
      <c r="BE121" s="271" t="s">
        <v>104</v>
      </c>
      <c r="BF121" s="271" t="s">
        <v>105</v>
      </c>
      <c r="BG121" s="269">
        <v>0</v>
      </c>
      <c r="BH121" s="42">
        <v>24000</v>
      </c>
      <c r="BI121" s="47" t="s">
        <v>100</v>
      </c>
      <c r="BJ121" s="32" t="s">
        <v>101</v>
      </c>
      <c r="BK121" s="32" t="s">
        <v>100</v>
      </c>
      <c r="BL121" s="26" t="s">
        <v>106</v>
      </c>
      <c r="BM121" s="26" t="s">
        <v>107</v>
      </c>
      <c r="BN121" s="209">
        <v>0</v>
      </c>
      <c r="BO121" s="26" t="s">
        <v>108</v>
      </c>
      <c r="BP121" s="34" t="s">
        <v>109</v>
      </c>
      <c r="BQ121" s="209">
        <v>4000</v>
      </c>
      <c r="BR121" s="26" t="s">
        <v>108</v>
      </c>
      <c r="BS121" s="34" t="s">
        <v>110</v>
      </c>
      <c r="BT121" s="209">
        <v>5500</v>
      </c>
      <c r="BU121" s="211">
        <v>11000</v>
      </c>
      <c r="BV121" s="212" t="s">
        <v>100</v>
      </c>
      <c r="BW121" s="212" t="s">
        <v>286</v>
      </c>
      <c r="BX121" s="213" t="s">
        <v>100</v>
      </c>
      <c r="BY121" s="213" t="s">
        <v>100</v>
      </c>
      <c r="BZ121" s="45">
        <v>2000</v>
      </c>
    </row>
    <row r="122" spans="1:78" ht="25.5">
      <c r="C122" s="1"/>
      <c r="D122" s="296"/>
      <c r="E122" s="305"/>
      <c r="F122" s="308"/>
      <c r="G122" s="74">
        <v>940</v>
      </c>
      <c r="H122" s="62">
        <v>750</v>
      </c>
      <c r="I122" s="62">
        <v>6000</v>
      </c>
      <c r="J122" s="62">
        <v>6000</v>
      </c>
      <c r="K122" s="62">
        <v>50</v>
      </c>
      <c r="L122" s="62">
        <v>94</v>
      </c>
      <c r="M122" s="84" t="s">
        <v>221</v>
      </c>
      <c r="N122" s="63">
        <v>188959</v>
      </c>
      <c r="O122" s="62" t="s">
        <v>89</v>
      </c>
      <c r="P122" s="62">
        <v>5</v>
      </c>
      <c r="Q122" s="64" t="s">
        <v>198</v>
      </c>
      <c r="R122" s="64" t="s">
        <v>91</v>
      </c>
      <c r="S122" s="64" t="s">
        <v>199</v>
      </c>
      <c r="T122" s="65" t="s">
        <v>92</v>
      </c>
      <c r="U122" s="65" t="s">
        <v>93</v>
      </c>
      <c r="V122" s="62" t="s">
        <v>94</v>
      </c>
      <c r="W122" s="62">
        <v>31</v>
      </c>
      <c r="X122" s="66" t="s">
        <v>95</v>
      </c>
      <c r="Y122" s="66" t="s">
        <v>96</v>
      </c>
      <c r="Z122" s="87">
        <v>12000</v>
      </c>
      <c r="AA122" s="84" t="s">
        <v>202</v>
      </c>
      <c r="AB122" s="87">
        <v>3900</v>
      </c>
      <c r="AC122" s="62" t="s">
        <v>97</v>
      </c>
      <c r="AD122" s="75" t="s">
        <v>97</v>
      </c>
      <c r="AE122" s="35"/>
      <c r="AF122" s="37">
        <v>177621</v>
      </c>
      <c r="AG122" s="29" t="s">
        <v>98</v>
      </c>
      <c r="AH122" s="226">
        <v>17951</v>
      </c>
      <c r="AI122" s="48" t="s">
        <v>221</v>
      </c>
      <c r="AJ122" s="39">
        <v>12000</v>
      </c>
      <c r="AK122" s="39" t="s">
        <v>202</v>
      </c>
      <c r="AL122" s="39">
        <v>3900</v>
      </c>
      <c r="AM122" s="30" t="s">
        <v>94</v>
      </c>
      <c r="AN122" s="40">
        <v>53200</v>
      </c>
      <c r="AO122" s="41" t="s">
        <v>331</v>
      </c>
      <c r="AP122" s="41" t="s">
        <v>332</v>
      </c>
      <c r="AQ122" s="27">
        <v>3000</v>
      </c>
      <c r="AR122" s="27" t="s">
        <v>94</v>
      </c>
      <c r="AS122" s="27">
        <v>900</v>
      </c>
      <c r="AT122" s="29">
        <v>41</v>
      </c>
      <c r="AU122" s="29" t="s">
        <v>100</v>
      </c>
      <c r="AV122" s="31">
        <v>42</v>
      </c>
      <c r="AW122" s="31" t="s">
        <v>100</v>
      </c>
      <c r="AX122" s="209"/>
      <c r="AY122" s="285"/>
      <c r="AZ122" s="285"/>
      <c r="BA122" s="286"/>
      <c r="BB122" s="286"/>
      <c r="BC122" s="44" t="s">
        <v>204</v>
      </c>
      <c r="BD122" s="33" t="s">
        <v>103</v>
      </c>
      <c r="BE122" s="271" t="s">
        <v>104</v>
      </c>
      <c r="BF122" s="271" t="s">
        <v>105</v>
      </c>
      <c r="BG122" s="269">
        <v>0</v>
      </c>
      <c r="BH122" s="42">
        <v>24000</v>
      </c>
      <c r="BI122" s="47" t="s">
        <v>100</v>
      </c>
      <c r="BJ122" s="32" t="s">
        <v>101</v>
      </c>
      <c r="BK122" s="32" t="s">
        <v>100</v>
      </c>
      <c r="BL122" s="26" t="s">
        <v>106</v>
      </c>
      <c r="BM122" s="26" t="s">
        <v>107</v>
      </c>
      <c r="BN122" s="209">
        <v>0</v>
      </c>
      <c r="BO122" s="26" t="s">
        <v>108</v>
      </c>
      <c r="BP122" s="34" t="s">
        <v>109</v>
      </c>
      <c r="BQ122" s="209">
        <v>4000</v>
      </c>
      <c r="BR122" s="26" t="s">
        <v>108</v>
      </c>
      <c r="BS122" s="34" t="s">
        <v>110</v>
      </c>
      <c r="BT122" s="209">
        <v>5500</v>
      </c>
      <c r="BU122" s="211">
        <v>11000</v>
      </c>
      <c r="BV122" s="212" t="s">
        <v>100</v>
      </c>
      <c r="BW122" s="212" t="s">
        <v>286</v>
      </c>
      <c r="BX122" s="213" t="s">
        <v>100</v>
      </c>
      <c r="BY122" s="213" t="s">
        <v>100</v>
      </c>
      <c r="BZ122" s="45">
        <v>2000</v>
      </c>
    </row>
    <row r="123" spans="1:78" ht="26.25" thickBot="1">
      <c r="C123" s="1"/>
      <c r="D123" s="296"/>
      <c r="E123" s="305"/>
      <c r="F123" s="308"/>
      <c r="G123" s="175">
        <v>1000</v>
      </c>
      <c r="H123" s="77">
        <v>800</v>
      </c>
      <c r="I123" s="77">
        <v>6000</v>
      </c>
      <c r="J123" s="77">
        <v>6000</v>
      </c>
      <c r="K123" s="77">
        <v>50</v>
      </c>
      <c r="L123" s="77">
        <v>96</v>
      </c>
      <c r="M123" s="85" t="s">
        <v>221</v>
      </c>
      <c r="N123" s="78">
        <v>190003</v>
      </c>
      <c r="O123" s="77" t="s">
        <v>89</v>
      </c>
      <c r="P123" s="77">
        <v>5</v>
      </c>
      <c r="Q123" s="79" t="s">
        <v>198</v>
      </c>
      <c r="R123" s="79" t="s">
        <v>91</v>
      </c>
      <c r="S123" s="79" t="s">
        <v>199</v>
      </c>
      <c r="T123" s="80" t="s">
        <v>92</v>
      </c>
      <c r="U123" s="80" t="s">
        <v>93</v>
      </c>
      <c r="V123" s="77" t="s">
        <v>94</v>
      </c>
      <c r="W123" s="77">
        <v>31</v>
      </c>
      <c r="X123" s="81" t="s">
        <v>95</v>
      </c>
      <c r="Y123" s="81" t="s">
        <v>96</v>
      </c>
      <c r="Z123" s="88">
        <v>12000</v>
      </c>
      <c r="AA123" s="85" t="s">
        <v>202</v>
      </c>
      <c r="AB123" s="88">
        <v>3900</v>
      </c>
      <c r="AC123" s="77" t="s">
        <v>97</v>
      </c>
      <c r="AD123" s="82" t="s">
        <v>97</v>
      </c>
      <c r="AE123" s="35"/>
      <c r="AF123" s="37">
        <v>178603</v>
      </c>
      <c r="AG123" s="29" t="s">
        <v>98</v>
      </c>
      <c r="AH123" s="218">
        <v>18050</v>
      </c>
      <c r="AI123" s="219" t="s">
        <v>221</v>
      </c>
      <c r="AJ123" s="220">
        <v>12000</v>
      </c>
      <c r="AK123" s="220" t="s">
        <v>202</v>
      </c>
      <c r="AL123" s="220">
        <v>3900</v>
      </c>
      <c r="AM123" s="221" t="s">
        <v>94</v>
      </c>
      <c r="AN123" s="40">
        <v>53200</v>
      </c>
      <c r="AO123" s="41" t="s">
        <v>331</v>
      </c>
      <c r="AP123" s="41" t="s">
        <v>332</v>
      </c>
      <c r="AQ123" s="27">
        <v>3000</v>
      </c>
      <c r="AR123" s="27" t="s">
        <v>94</v>
      </c>
      <c r="AS123" s="27">
        <v>900</v>
      </c>
      <c r="AT123" s="29">
        <v>41</v>
      </c>
      <c r="AU123" s="29" t="s">
        <v>100</v>
      </c>
      <c r="AV123" s="31">
        <v>42</v>
      </c>
      <c r="AW123" s="31" t="s">
        <v>100</v>
      </c>
      <c r="AX123" s="209"/>
      <c r="AY123" s="285"/>
      <c r="AZ123" s="285"/>
      <c r="BA123" s="286"/>
      <c r="BB123" s="286"/>
      <c r="BC123" s="44" t="s">
        <v>204</v>
      </c>
      <c r="BD123" s="33" t="s">
        <v>103</v>
      </c>
      <c r="BE123" s="271" t="s">
        <v>104</v>
      </c>
      <c r="BF123" s="271" t="s">
        <v>105</v>
      </c>
      <c r="BG123" s="269">
        <v>0</v>
      </c>
      <c r="BH123" s="42">
        <v>27000</v>
      </c>
      <c r="BI123" s="47" t="s">
        <v>100</v>
      </c>
      <c r="BJ123" s="32" t="s">
        <v>101</v>
      </c>
      <c r="BK123" s="32" t="s">
        <v>100</v>
      </c>
      <c r="BL123" s="26" t="s">
        <v>106</v>
      </c>
      <c r="BM123" s="26" t="s">
        <v>107</v>
      </c>
      <c r="BN123" s="209">
        <v>0</v>
      </c>
      <c r="BO123" s="26" t="s">
        <v>108</v>
      </c>
      <c r="BP123" s="34" t="s">
        <v>109</v>
      </c>
      <c r="BQ123" s="209">
        <v>4000</v>
      </c>
      <c r="BR123" s="26" t="s">
        <v>108</v>
      </c>
      <c r="BS123" s="34" t="s">
        <v>110</v>
      </c>
      <c r="BT123" s="209">
        <v>5500</v>
      </c>
      <c r="BU123" s="211">
        <v>11000</v>
      </c>
      <c r="BV123" s="212" t="s">
        <v>100</v>
      </c>
      <c r="BW123" s="212" t="s">
        <v>286</v>
      </c>
      <c r="BX123" s="213" t="s">
        <v>100</v>
      </c>
      <c r="BY123" s="213" t="s">
        <v>100</v>
      </c>
      <c r="BZ123" s="45">
        <v>2000</v>
      </c>
    </row>
    <row r="124" spans="1:78" ht="25.5">
      <c r="C124" s="1"/>
      <c r="D124" s="296"/>
      <c r="E124" s="305"/>
      <c r="F124" s="308"/>
      <c r="G124" s="178">
        <v>1125</v>
      </c>
      <c r="H124" s="68">
        <v>900</v>
      </c>
      <c r="I124" s="68">
        <v>6000</v>
      </c>
      <c r="J124" s="68">
        <v>6000</v>
      </c>
      <c r="K124" s="68">
        <v>50</v>
      </c>
      <c r="L124" s="68">
        <v>110</v>
      </c>
      <c r="M124" s="103" t="s">
        <v>222</v>
      </c>
      <c r="N124" s="69">
        <v>211044</v>
      </c>
      <c r="O124" s="68" t="s">
        <v>89</v>
      </c>
      <c r="P124" s="68">
        <v>5</v>
      </c>
      <c r="Q124" s="70" t="s">
        <v>198</v>
      </c>
      <c r="R124" s="70" t="s">
        <v>91</v>
      </c>
      <c r="S124" s="70" t="s">
        <v>199</v>
      </c>
      <c r="T124" s="71" t="s">
        <v>92</v>
      </c>
      <c r="U124" s="71" t="s">
        <v>93</v>
      </c>
      <c r="V124" s="68" t="s">
        <v>94</v>
      </c>
      <c r="W124" s="68">
        <v>31</v>
      </c>
      <c r="X124" s="72" t="s">
        <v>95</v>
      </c>
      <c r="Y124" s="72" t="s">
        <v>96</v>
      </c>
      <c r="Z124" s="104">
        <v>18000</v>
      </c>
      <c r="AA124" s="103" t="s">
        <v>203</v>
      </c>
      <c r="AB124" s="104">
        <v>4100</v>
      </c>
      <c r="AC124" s="68" t="s">
        <v>97</v>
      </c>
      <c r="AD124" s="73" t="s">
        <v>97</v>
      </c>
      <c r="AE124" s="35"/>
      <c r="AF124" s="37">
        <v>198381</v>
      </c>
      <c r="AG124" s="29" t="s">
        <v>98</v>
      </c>
      <c r="AH124" s="222">
        <v>20049</v>
      </c>
      <c r="AI124" s="223" t="s">
        <v>222</v>
      </c>
      <c r="AJ124" s="224">
        <v>18000</v>
      </c>
      <c r="AK124" s="224" t="s">
        <v>203</v>
      </c>
      <c r="AL124" s="224">
        <v>4100</v>
      </c>
      <c r="AM124" s="225" t="s">
        <v>94</v>
      </c>
      <c r="AN124" s="40">
        <v>53200</v>
      </c>
      <c r="AO124" s="41" t="s">
        <v>331</v>
      </c>
      <c r="AP124" s="41" t="s">
        <v>332</v>
      </c>
      <c r="AQ124" s="27">
        <v>3000</v>
      </c>
      <c r="AR124" s="27" t="s">
        <v>94</v>
      </c>
      <c r="AS124" s="27">
        <v>900</v>
      </c>
      <c r="AT124" s="29">
        <v>41</v>
      </c>
      <c r="AU124" s="29" t="s">
        <v>100</v>
      </c>
      <c r="AV124" s="31">
        <v>42</v>
      </c>
      <c r="AW124" s="31" t="s">
        <v>100</v>
      </c>
      <c r="AX124" s="209"/>
      <c r="AY124" s="285"/>
      <c r="AZ124" s="285"/>
      <c r="BA124" s="286"/>
      <c r="BB124" s="286"/>
      <c r="BC124" s="44" t="s">
        <v>204</v>
      </c>
      <c r="BD124" s="33" t="s">
        <v>103</v>
      </c>
      <c r="BE124" s="271" t="s">
        <v>104</v>
      </c>
      <c r="BF124" s="271" t="s">
        <v>105</v>
      </c>
      <c r="BG124" s="269">
        <v>0</v>
      </c>
      <c r="BH124" s="42">
        <v>27000</v>
      </c>
      <c r="BI124" s="47" t="s">
        <v>100</v>
      </c>
      <c r="BJ124" s="32" t="s">
        <v>101</v>
      </c>
      <c r="BK124" s="32" t="s">
        <v>100</v>
      </c>
      <c r="BL124" s="26" t="s">
        <v>106</v>
      </c>
      <c r="BM124" s="26" t="s">
        <v>107</v>
      </c>
      <c r="BN124" s="209">
        <v>0</v>
      </c>
      <c r="BO124" s="26" t="s">
        <v>108</v>
      </c>
      <c r="BP124" s="34" t="s">
        <v>109</v>
      </c>
      <c r="BQ124" s="209">
        <v>4000</v>
      </c>
      <c r="BR124" s="26" t="s">
        <v>108</v>
      </c>
      <c r="BS124" s="34" t="s">
        <v>110</v>
      </c>
      <c r="BT124" s="209">
        <v>5500</v>
      </c>
      <c r="BU124" s="211">
        <v>11000</v>
      </c>
      <c r="BV124" s="212" t="s">
        <v>100</v>
      </c>
      <c r="BW124" s="212" t="s">
        <v>286</v>
      </c>
      <c r="BX124" s="213" t="s">
        <v>100</v>
      </c>
      <c r="BY124" s="213" t="s">
        <v>100</v>
      </c>
      <c r="BZ124" s="45">
        <v>2000</v>
      </c>
    </row>
    <row r="125" spans="1:78" ht="25.5">
      <c r="C125" s="1"/>
      <c r="D125" s="296"/>
      <c r="E125" s="305"/>
      <c r="F125" s="308"/>
      <c r="G125" s="174">
        <v>1250</v>
      </c>
      <c r="H125" s="62">
        <v>1000</v>
      </c>
      <c r="I125" s="62">
        <v>6000</v>
      </c>
      <c r="J125" s="62">
        <v>6000</v>
      </c>
      <c r="K125" s="62">
        <v>50</v>
      </c>
      <c r="L125" s="62">
        <v>120</v>
      </c>
      <c r="M125" s="101" t="s">
        <v>222</v>
      </c>
      <c r="N125" s="63">
        <v>229313</v>
      </c>
      <c r="O125" s="62" t="s">
        <v>89</v>
      </c>
      <c r="P125" s="62">
        <v>5</v>
      </c>
      <c r="Q125" s="64" t="s">
        <v>198</v>
      </c>
      <c r="R125" s="64" t="s">
        <v>91</v>
      </c>
      <c r="S125" s="64" t="s">
        <v>199</v>
      </c>
      <c r="T125" s="65" t="s">
        <v>92</v>
      </c>
      <c r="U125" s="65" t="s">
        <v>93</v>
      </c>
      <c r="V125" s="62" t="s">
        <v>94</v>
      </c>
      <c r="W125" s="62">
        <v>31</v>
      </c>
      <c r="X125" s="66" t="s">
        <v>95</v>
      </c>
      <c r="Y125" s="66" t="s">
        <v>96</v>
      </c>
      <c r="Z125" s="102">
        <v>18000</v>
      </c>
      <c r="AA125" s="101" t="s">
        <v>203</v>
      </c>
      <c r="AB125" s="102">
        <v>4100</v>
      </c>
      <c r="AC125" s="62" t="s">
        <v>97</v>
      </c>
      <c r="AD125" s="75" t="s">
        <v>97</v>
      </c>
      <c r="AE125" s="35"/>
      <c r="AF125" s="37">
        <v>215554</v>
      </c>
      <c r="AG125" s="29" t="s">
        <v>98</v>
      </c>
      <c r="AH125" s="226">
        <v>21785</v>
      </c>
      <c r="AI125" s="48" t="s">
        <v>222</v>
      </c>
      <c r="AJ125" s="39">
        <v>18000</v>
      </c>
      <c r="AK125" s="39" t="s">
        <v>203</v>
      </c>
      <c r="AL125" s="39">
        <v>4100</v>
      </c>
      <c r="AM125" s="30" t="s">
        <v>94</v>
      </c>
      <c r="AN125" s="40">
        <v>65075</v>
      </c>
      <c r="AO125" s="41" t="s">
        <v>331</v>
      </c>
      <c r="AP125" s="41" t="s">
        <v>332</v>
      </c>
      <c r="AQ125" s="27">
        <v>3000</v>
      </c>
      <c r="AR125" s="27" t="s">
        <v>94</v>
      </c>
      <c r="AS125" s="27">
        <v>900</v>
      </c>
      <c r="AT125" s="29">
        <v>41</v>
      </c>
      <c r="AU125" s="29" t="s">
        <v>100</v>
      </c>
      <c r="AV125" s="31">
        <v>42</v>
      </c>
      <c r="AW125" s="31" t="s">
        <v>100</v>
      </c>
      <c r="AX125" s="209"/>
      <c r="AY125" s="285"/>
      <c r="AZ125" s="285"/>
      <c r="BA125" s="286"/>
      <c r="BB125" s="286"/>
      <c r="BC125" s="44" t="s">
        <v>204</v>
      </c>
      <c r="BD125" s="33" t="s">
        <v>103</v>
      </c>
      <c r="BE125" s="271" t="s">
        <v>104</v>
      </c>
      <c r="BF125" s="271" t="s">
        <v>105</v>
      </c>
      <c r="BG125" s="269">
        <v>0</v>
      </c>
      <c r="BH125" s="42">
        <v>27000</v>
      </c>
      <c r="BI125" s="47" t="s">
        <v>100</v>
      </c>
      <c r="BJ125" s="32" t="s">
        <v>101</v>
      </c>
      <c r="BK125" s="32" t="s">
        <v>100</v>
      </c>
      <c r="BL125" s="26" t="s">
        <v>106</v>
      </c>
      <c r="BM125" s="26" t="s">
        <v>107</v>
      </c>
      <c r="BN125" s="209">
        <v>0</v>
      </c>
      <c r="BO125" s="26" t="s">
        <v>108</v>
      </c>
      <c r="BP125" s="34" t="s">
        <v>109</v>
      </c>
      <c r="BQ125" s="209">
        <v>4000</v>
      </c>
      <c r="BR125" s="26" t="s">
        <v>108</v>
      </c>
      <c r="BS125" s="34" t="s">
        <v>110</v>
      </c>
      <c r="BT125" s="209">
        <v>5500</v>
      </c>
      <c r="BU125" s="211">
        <v>11000</v>
      </c>
      <c r="BV125" s="212" t="s">
        <v>100</v>
      </c>
      <c r="BW125" s="212" t="s">
        <v>286</v>
      </c>
      <c r="BX125" s="213" t="s">
        <v>100</v>
      </c>
      <c r="BY125" s="213" t="s">
        <v>100</v>
      </c>
      <c r="BZ125" s="45">
        <v>2000</v>
      </c>
    </row>
    <row r="126" spans="1:78" ht="26.25" thickBot="1">
      <c r="C126" s="1"/>
      <c r="D126" s="296"/>
      <c r="E126" s="305"/>
      <c r="F126" s="308"/>
      <c r="G126" s="175">
        <v>1400</v>
      </c>
      <c r="H126" s="77">
        <v>1120</v>
      </c>
      <c r="I126" s="77">
        <v>6000</v>
      </c>
      <c r="J126" s="77">
        <v>6000</v>
      </c>
      <c r="K126" s="77">
        <v>50</v>
      </c>
      <c r="L126" s="77">
        <v>135</v>
      </c>
      <c r="M126" s="136" t="s">
        <v>222</v>
      </c>
      <c r="N126" s="78">
        <v>233501</v>
      </c>
      <c r="O126" s="77" t="s">
        <v>89</v>
      </c>
      <c r="P126" s="77">
        <v>5</v>
      </c>
      <c r="Q126" s="79" t="s">
        <v>198</v>
      </c>
      <c r="R126" s="79" t="s">
        <v>91</v>
      </c>
      <c r="S126" s="79" t="s">
        <v>199</v>
      </c>
      <c r="T126" s="80" t="s">
        <v>92</v>
      </c>
      <c r="U126" s="80" t="s">
        <v>93</v>
      </c>
      <c r="V126" s="77" t="s">
        <v>94</v>
      </c>
      <c r="W126" s="77">
        <v>31</v>
      </c>
      <c r="X126" s="81" t="s">
        <v>95</v>
      </c>
      <c r="Y126" s="81" t="s">
        <v>96</v>
      </c>
      <c r="Z126" s="170">
        <v>18000</v>
      </c>
      <c r="AA126" s="136" t="s">
        <v>203</v>
      </c>
      <c r="AB126" s="170">
        <v>4100</v>
      </c>
      <c r="AC126" s="176" t="s">
        <v>97</v>
      </c>
      <c r="AD126" s="177" t="s">
        <v>97</v>
      </c>
      <c r="AE126" s="35"/>
      <c r="AF126" s="37">
        <v>219491</v>
      </c>
      <c r="AG126" s="29" t="s">
        <v>98</v>
      </c>
      <c r="AH126" s="218">
        <v>22183</v>
      </c>
      <c r="AI126" s="219" t="s">
        <v>222</v>
      </c>
      <c r="AJ126" s="220">
        <v>18000</v>
      </c>
      <c r="AK126" s="220" t="s">
        <v>203</v>
      </c>
      <c r="AL126" s="220">
        <v>4100</v>
      </c>
      <c r="AM126" s="221" t="s">
        <v>94</v>
      </c>
      <c r="AN126" s="40">
        <v>65075</v>
      </c>
      <c r="AO126" s="41" t="s">
        <v>331</v>
      </c>
      <c r="AP126" s="41" t="s">
        <v>332</v>
      </c>
      <c r="AQ126" s="27">
        <v>3000</v>
      </c>
      <c r="AR126" s="27" t="s">
        <v>94</v>
      </c>
      <c r="AS126" s="27">
        <v>900</v>
      </c>
      <c r="AT126" s="29">
        <v>41</v>
      </c>
      <c r="AU126" s="29" t="s">
        <v>100</v>
      </c>
      <c r="AV126" s="31">
        <v>42</v>
      </c>
      <c r="AW126" s="31" t="s">
        <v>100</v>
      </c>
      <c r="AX126" s="209"/>
      <c r="AY126" s="285"/>
      <c r="AZ126" s="285"/>
      <c r="BA126" s="286"/>
      <c r="BB126" s="286"/>
      <c r="BC126" s="44" t="s">
        <v>204</v>
      </c>
      <c r="BD126" s="33" t="s">
        <v>103</v>
      </c>
      <c r="BE126" s="271" t="s">
        <v>104</v>
      </c>
      <c r="BF126" s="271" t="s">
        <v>105</v>
      </c>
      <c r="BG126" s="269">
        <v>0</v>
      </c>
      <c r="BH126" s="42">
        <v>27000</v>
      </c>
      <c r="BI126" s="47" t="s">
        <v>100</v>
      </c>
      <c r="BJ126" s="32" t="s">
        <v>101</v>
      </c>
      <c r="BK126" s="32" t="s">
        <v>100</v>
      </c>
      <c r="BL126" s="26" t="s">
        <v>106</v>
      </c>
      <c r="BM126" s="26" t="s">
        <v>107</v>
      </c>
      <c r="BN126" s="209">
        <v>0</v>
      </c>
      <c r="BO126" s="26" t="s">
        <v>108</v>
      </c>
      <c r="BP126" s="34" t="s">
        <v>109</v>
      </c>
      <c r="BQ126" s="209">
        <v>4000</v>
      </c>
      <c r="BR126" s="26" t="s">
        <v>108</v>
      </c>
      <c r="BS126" s="34" t="s">
        <v>110</v>
      </c>
      <c r="BT126" s="209">
        <v>5500</v>
      </c>
      <c r="BU126" s="211">
        <v>11000</v>
      </c>
      <c r="BV126" s="212" t="s">
        <v>100</v>
      </c>
      <c r="BW126" s="212" t="s">
        <v>286</v>
      </c>
      <c r="BX126" s="213" t="s">
        <v>100</v>
      </c>
      <c r="BY126" s="213" t="s">
        <v>100</v>
      </c>
      <c r="BZ126" s="45">
        <v>2000</v>
      </c>
    </row>
    <row r="127" spans="1:78" ht="26.25" thickBot="1">
      <c r="C127" s="1"/>
      <c r="D127" s="296"/>
      <c r="E127" s="305"/>
      <c r="F127" s="308"/>
      <c r="G127" s="178">
        <v>1565</v>
      </c>
      <c r="H127" s="68">
        <v>1250</v>
      </c>
      <c r="I127" s="68">
        <v>6000</v>
      </c>
      <c r="J127" s="68">
        <v>6000</v>
      </c>
      <c r="K127" s="68">
        <v>50</v>
      </c>
      <c r="L127" s="68">
        <v>150</v>
      </c>
      <c r="M127" s="83" t="s">
        <v>223</v>
      </c>
      <c r="N127" s="69">
        <v>266688</v>
      </c>
      <c r="O127" s="68" t="s">
        <v>89</v>
      </c>
      <c r="P127" s="68">
        <v>5</v>
      </c>
      <c r="Q127" s="70" t="s">
        <v>198</v>
      </c>
      <c r="R127" s="70" t="s">
        <v>91</v>
      </c>
      <c r="S127" s="70" t="s">
        <v>199</v>
      </c>
      <c r="T127" s="71" t="s">
        <v>92</v>
      </c>
      <c r="U127" s="71" t="s">
        <v>93</v>
      </c>
      <c r="V127" s="68" t="s">
        <v>94</v>
      </c>
      <c r="W127" s="68">
        <v>31</v>
      </c>
      <c r="X127" s="72" t="s">
        <v>95</v>
      </c>
      <c r="Y127" s="72" t="s">
        <v>96</v>
      </c>
      <c r="Z127" s="86">
        <v>27000</v>
      </c>
      <c r="AA127" s="83" t="s">
        <v>203</v>
      </c>
      <c r="AB127" s="86">
        <v>4100</v>
      </c>
      <c r="AC127" s="179" t="s">
        <v>97</v>
      </c>
      <c r="AD127" s="180" t="s">
        <v>97</v>
      </c>
      <c r="AE127" s="35"/>
      <c r="AF127" s="37">
        <v>250687</v>
      </c>
      <c r="AG127" s="29" t="s">
        <v>98</v>
      </c>
      <c r="AH127" s="222">
        <v>25335</v>
      </c>
      <c r="AI127" s="223" t="s">
        <v>223</v>
      </c>
      <c r="AJ127" s="224">
        <v>27000</v>
      </c>
      <c r="AK127" s="224" t="s">
        <v>203</v>
      </c>
      <c r="AL127" s="224">
        <v>4100</v>
      </c>
      <c r="AM127" s="225" t="s">
        <v>94</v>
      </c>
      <c r="AN127" s="235">
        <v>65075</v>
      </c>
      <c r="AO127" s="236" t="s">
        <v>331</v>
      </c>
      <c r="AP127" s="236" t="s">
        <v>332</v>
      </c>
      <c r="AQ127" s="237">
        <v>3000</v>
      </c>
      <c r="AR127" s="237" t="s">
        <v>94</v>
      </c>
      <c r="AS127" s="237">
        <v>900</v>
      </c>
      <c r="AT127" s="29">
        <v>41</v>
      </c>
      <c r="AU127" s="29" t="s">
        <v>100</v>
      </c>
      <c r="AV127" s="31">
        <v>42</v>
      </c>
      <c r="AW127" s="31" t="s">
        <v>100</v>
      </c>
      <c r="AX127" s="209"/>
      <c r="AY127" s="285"/>
      <c r="AZ127" s="285"/>
      <c r="BA127" s="286"/>
      <c r="BB127" s="286"/>
      <c r="BC127" s="44" t="s">
        <v>204</v>
      </c>
      <c r="BD127" s="33" t="s">
        <v>103</v>
      </c>
      <c r="BE127" s="271" t="s">
        <v>104</v>
      </c>
      <c r="BF127" s="271" t="s">
        <v>105</v>
      </c>
      <c r="BG127" s="269">
        <v>0</v>
      </c>
      <c r="BH127" s="42">
        <v>27000</v>
      </c>
      <c r="BI127" s="47" t="s">
        <v>100</v>
      </c>
      <c r="BJ127" s="32" t="s">
        <v>101</v>
      </c>
      <c r="BK127" s="32" t="s">
        <v>100</v>
      </c>
      <c r="BL127" s="26" t="s">
        <v>106</v>
      </c>
      <c r="BM127" s="26" t="s">
        <v>107</v>
      </c>
      <c r="BN127" s="209">
        <v>0</v>
      </c>
      <c r="BO127" s="26" t="s">
        <v>108</v>
      </c>
      <c r="BP127" s="34" t="s">
        <v>109</v>
      </c>
      <c r="BQ127" s="209">
        <v>4000</v>
      </c>
      <c r="BR127" s="26" t="s">
        <v>108</v>
      </c>
      <c r="BS127" s="34" t="s">
        <v>110</v>
      </c>
      <c r="BT127" s="209">
        <v>5500</v>
      </c>
      <c r="BU127" s="211">
        <v>11000</v>
      </c>
      <c r="BV127" s="212" t="s">
        <v>100</v>
      </c>
      <c r="BW127" s="212" t="s">
        <v>286</v>
      </c>
      <c r="BX127" s="213" t="s">
        <v>100</v>
      </c>
      <c r="BY127" s="213" t="s">
        <v>100</v>
      </c>
      <c r="BZ127" s="45">
        <v>2000</v>
      </c>
    </row>
    <row r="128" spans="1:78" ht="71.25" customHeight="1" thickBot="1">
      <c r="C128" s="1"/>
      <c r="D128" s="297"/>
      <c r="E128" s="306"/>
      <c r="F128" s="309"/>
      <c r="G128" s="175">
        <v>1750</v>
      </c>
      <c r="H128" s="77">
        <v>1400</v>
      </c>
      <c r="I128" s="77">
        <v>6000</v>
      </c>
      <c r="J128" s="77">
        <v>6000</v>
      </c>
      <c r="K128" s="77">
        <v>50</v>
      </c>
      <c r="L128" s="77">
        <v>170</v>
      </c>
      <c r="M128" s="85" t="s">
        <v>223</v>
      </c>
      <c r="N128" s="78">
        <v>279685</v>
      </c>
      <c r="O128" s="77" t="s">
        <v>89</v>
      </c>
      <c r="P128" s="77">
        <v>5</v>
      </c>
      <c r="Q128" s="79" t="s">
        <v>198</v>
      </c>
      <c r="R128" s="79" t="s">
        <v>91</v>
      </c>
      <c r="S128" s="79" t="s">
        <v>199</v>
      </c>
      <c r="T128" s="80" t="s">
        <v>92</v>
      </c>
      <c r="U128" s="80" t="s">
        <v>93</v>
      </c>
      <c r="V128" s="77" t="s">
        <v>94</v>
      </c>
      <c r="W128" s="77">
        <v>31</v>
      </c>
      <c r="X128" s="81" t="s">
        <v>95</v>
      </c>
      <c r="Y128" s="81" t="s">
        <v>96</v>
      </c>
      <c r="Z128" s="88">
        <v>27000</v>
      </c>
      <c r="AA128" s="85" t="s">
        <v>203</v>
      </c>
      <c r="AB128" s="88">
        <v>4100</v>
      </c>
      <c r="AC128" s="176" t="s">
        <v>97</v>
      </c>
      <c r="AD128" s="177" t="s">
        <v>97</v>
      </c>
      <c r="AE128" s="35"/>
      <c r="AF128" s="37">
        <v>262904</v>
      </c>
      <c r="AG128" s="29" t="s">
        <v>98</v>
      </c>
      <c r="AH128" s="218">
        <v>26570</v>
      </c>
      <c r="AI128" s="219" t="s">
        <v>223</v>
      </c>
      <c r="AJ128" s="220">
        <v>27000</v>
      </c>
      <c r="AK128" s="220" t="s">
        <v>203</v>
      </c>
      <c r="AL128" s="220">
        <v>4100</v>
      </c>
      <c r="AM128" s="221" t="s">
        <v>94</v>
      </c>
      <c r="AN128" s="248">
        <v>65075</v>
      </c>
      <c r="AO128" s="249" t="s">
        <v>304</v>
      </c>
      <c r="AP128" s="249" t="s">
        <v>307</v>
      </c>
      <c r="AQ128" s="249">
        <v>3000</v>
      </c>
      <c r="AR128" s="249" t="s">
        <v>94</v>
      </c>
      <c r="AS128" s="249">
        <v>1500</v>
      </c>
      <c r="AT128" s="29">
        <v>41</v>
      </c>
      <c r="AU128" s="29" t="s">
        <v>100</v>
      </c>
      <c r="AV128" s="31">
        <v>42</v>
      </c>
      <c r="AW128" s="31" t="s">
        <v>100</v>
      </c>
      <c r="AX128" s="209"/>
      <c r="AY128" s="285"/>
      <c r="AZ128" s="285"/>
      <c r="BA128" s="286"/>
      <c r="BB128" s="286"/>
      <c r="BC128" s="44" t="s">
        <v>204</v>
      </c>
      <c r="BD128" s="33" t="s">
        <v>103</v>
      </c>
      <c r="BE128" s="271" t="s">
        <v>104</v>
      </c>
      <c r="BF128" s="271" t="s">
        <v>105</v>
      </c>
      <c r="BG128" s="269">
        <v>0</v>
      </c>
      <c r="BH128" s="42">
        <v>27000</v>
      </c>
      <c r="BI128" s="47" t="s">
        <v>100</v>
      </c>
      <c r="BJ128" s="32" t="s">
        <v>101</v>
      </c>
      <c r="BK128" s="32" t="s">
        <v>100</v>
      </c>
      <c r="BL128" s="26" t="s">
        <v>106</v>
      </c>
      <c r="BM128" s="26" t="s">
        <v>107</v>
      </c>
      <c r="BN128" s="209">
        <v>0</v>
      </c>
      <c r="BO128" s="26" t="s">
        <v>108</v>
      </c>
      <c r="BP128" s="34" t="s">
        <v>109</v>
      </c>
      <c r="BQ128" s="209">
        <v>4000</v>
      </c>
      <c r="BR128" s="26" t="s">
        <v>108</v>
      </c>
      <c r="BS128" s="34" t="s">
        <v>110</v>
      </c>
      <c r="BT128" s="209">
        <v>5500</v>
      </c>
      <c r="BU128" s="211">
        <v>11000</v>
      </c>
      <c r="BV128" s="212" t="s">
        <v>100</v>
      </c>
      <c r="BW128" s="212" t="s">
        <v>286</v>
      </c>
      <c r="BX128" s="213" t="s">
        <v>100</v>
      </c>
      <c r="BY128" s="213" t="s">
        <v>100</v>
      </c>
      <c r="BZ128" s="45">
        <v>2000</v>
      </c>
    </row>
    <row r="129" spans="3:78" ht="13.5" thickBot="1">
      <c r="C129" s="1"/>
      <c r="D129" s="36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36"/>
      <c r="AJ129" s="36"/>
      <c r="AK129" s="1"/>
      <c r="AL129" s="36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287"/>
      <c r="AY129" s="287"/>
      <c r="AZ129" s="287"/>
      <c r="BA129" s="287"/>
      <c r="BB129" s="287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Z129" s="36"/>
    </row>
    <row r="130" spans="3:78" ht="25.5" customHeight="1">
      <c r="C130" s="1"/>
      <c r="D130" s="295">
        <v>6</v>
      </c>
      <c r="E130" s="298" t="s">
        <v>347</v>
      </c>
      <c r="F130" s="307" t="s">
        <v>346</v>
      </c>
      <c r="G130" s="67">
        <v>250</v>
      </c>
      <c r="H130" s="68">
        <v>200</v>
      </c>
      <c r="I130" s="68">
        <v>6000</v>
      </c>
      <c r="J130" s="68">
        <v>6000</v>
      </c>
      <c r="K130" s="68">
        <v>50</v>
      </c>
      <c r="L130" s="68">
        <v>25</v>
      </c>
      <c r="M130" s="83" t="s">
        <v>224</v>
      </c>
      <c r="N130" s="195">
        <f>N106+13422</f>
        <v>162559</v>
      </c>
      <c r="O130" s="68" t="s">
        <v>89</v>
      </c>
      <c r="P130" s="68">
        <v>6</v>
      </c>
      <c r="Q130" s="70" t="s">
        <v>198</v>
      </c>
      <c r="R130" s="70" t="s">
        <v>91</v>
      </c>
      <c r="S130" s="70" t="s">
        <v>199</v>
      </c>
      <c r="T130" s="71" t="s">
        <v>92</v>
      </c>
      <c r="U130" s="71" t="s">
        <v>93</v>
      </c>
      <c r="V130" s="68" t="s">
        <v>94</v>
      </c>
      <c r="W130" s="68">
        <v>31</v>
      </c>
      <c r="X130" s="72" t="s">
        <v>95</v>
      </c>
      <c r="Y130" s="72" t="s">
        <v>96</v>
      </c>
      <c r="Z130" s="86">
        <v>6000</v>
      </c>
      <c r="AA130" s="83" t="s">
        <v>205</v>
      </c>
      <c r="AB130" s="86">
        <v>2900</v>
      </c>
      <c r="AC130" s="68" t="s">
        <v>97</v>
      </c>
      <c r="AD130" s="73" t="s">
        <v>97</v>
      </c>
      <c r="AE130" s="28"/>
      <c r="AF130" s="37">
        <f>AF106+13422</f>
        <v>153611</v>
      </c>
      <c r="AG130" s="29" t="s">
        <v>98</v>
      </c>
      <c r="AH130" s="226">
        <v>14168</v>
      </c>
      <c r="AI130" s="48" t="s">
        <v>224</v>
      </c>
      <c r="AJ130" s="39">
        <v>6000</v>
      </c>
      <c r="AK130" s="39" t="s">
        <v>200</v>
      </c>
      <c r="AL130" s="39">
        <v>2900</v>
      </c>
      <c r="AM130" s="30" t="s">
        <v>94</v>
      </c>
      <c r="AN130" s="40">
        <v>53200</v>
      </c>
      <c r="AO130" s="41" t="s">
        <v>331</v>
      </c>
      <c r="AP130" s="41" t="s">
        <v>332</v>
      </c>
      <c r="AQ130" s="27">
        <v>3000</v>
      </c>
      <c r="AR130" s="27" t="s">
        <v>94</v>
      </c>
      <c r="AS130" s="27">
        <v>900</v>
      </c>
      <c r="AT130" s="29">
        <v>41</v>
      </c>
      <c r="AU130" s="29" t="s">
        <v>100</v>
      </c>
      <c r="AV130" s="31">
        <v>42</v>
      </c>
      <c r="AW130" s="31" t="s">
        <v>100</v>
      </c>
      <c r="AX130" s="209"/>
      <c r="AY130" s="285"/>
      <c r="AZ130" s="285"/>
      <c r="BA130" s="286"/>
      <c r="BB130" s="286"/>
      <c r="BC130" s="44" t="s">
        <v>204</v>
      </c>
      <c r="BD130" s="33" t="s">
        <v>103</v>
      </c>
      <c r="BE130" s="271" t="s">
        <v>104</v>
      </c>
      <c r="BF130" s="271" t="s">
        <v>105</v>
      </c>
      <c r="BG130" s="269">
        <v>0</v>
      </c>
      <c r="BH130" s="42">
        <v>24000</v>
      </c>
      <c r="BI130" s="47" t="s">
        <v>100</v>
      </c>
      <c r="BJ130" s="32" t="s">
        <v>309</v>
      </c>
      <c r="BK130" s="32">
        <v>500</v>
      </c>
      <c r="BL130" s="26" t="s">
        <v>106</v>
      </c>
      <c r="BM130" s="26" t="s">
        <v>107</v>
      </c>
      <c r="BN130" s="209">
        <v>0</v>
      </c>
      <c r="BO130" s="26" t="s">
        <v>108</v>
      </c>
      <c r="BP130" s="34" t="s">
        <v>109</v>
      </c>
      <c r="BQ130" s="209">
        <v>4000</v>
      </c>
      <c r="BR130" s="26" t="s">
        <v>108</v>
      </c>
      <c r="BS130" s="34" t="s">
        <v>110</v>
      </c>
      <c r="BT130" s="209">
        <v>5500</v>
      </c>
      <c r="BU130" s="211">
        <v>11000</v>
      </c>
      <c r="BV130" s="212" t="s">
        <v>100</v>
      </c>
      <c r="BW130" s="212" t="s">
        <v>286</v>
      </c>
      <c r="BX130" s="213" t="s">
        <v>100</v>
      </c>
      <c r="BY130" s="213" t="s">
        <v>100</v>
      </c>
      <c r="BZ130" s="45">
        <v>2000</v>
      </c>
    </row>
    <row r="131" spans="3:78" ht="25.5" customHeight="1" thickBot="1">
      <c r="C131" s="1"/>
      <c r="D131" s="296"/>
      <c r="E131" s="299"/>
      <c r="F131" s="308"/>
      <c r="G131" s="74">
        <v>275</v>
      </c>
      <c r="H131" s="62">
        <v>220</v>
      </c>
      <c r="I131" s="62">
        <v>6000</v>
      </c>
      <c r="J131" s="62">
        <v>6000</v>
      </c>
      <c r="K131" s="62">
        <v>50</v>
      </c>
      <c r="L131" s="62">
        <v>28</v>
      </c>
      <c r="M131" s="84" t="s">
        <v>224</v>
      </c>
      <c r="N131" s="63">
        <f>N107+13540</f>
        <v>163983</v>
      </c>
      <c r="O131" s="62" t="s">
        <v>89</v>
      </c>
      <c r="P131" s="62">
        <v>6</v>
      </c>
      <c r="Q131" s="64" t="s">
        <v>198</v>
      </c>
      <c r="R131" s="64" t="s">
        <v>91</v>
      </c>
      <c r="S131" s="64" t="s">
        <v>199</v>
      </c>
      <c r="T131" s="65" t="s">
        <v>92</v>
      </c>
      <c r="U131" s="65" t="s">
        <v>93</v>
      </c>
      <c r="V131" s="62" t="s">
        <v>94</v>
      </c>
      <c r="W131" s="62">
        <v>31</v>
      </c>
      <c r="X131" s="66" t="s">
        <v>95</v>
      </c>
      <c r="Y131" s="66" t="s">
        <v>96</v>
      </c>
      <c r="Z131" s="87">
        <v>6000</v>
      </c>
      <c r="AA131" s="84" t="s">
        <v>205</v>
      </c>
      <c r="AB131" s="87">
        <v>2900</v>
      </c>
      <c r="AC131" s="62" t="s">
        <v>97</v>
      </c>
      <c r="AD131" s="75" t="s">
        <v>97</v>
      </c>
      <c r="AE131" s="35"/>
      <c r="AF131" s="37">
        <f>AF107+13540</f>
        <v>154956</v>
      </c>
      <c r="AG131" s="29" t="s">
        <v>98</v>
      </c>
      <c r="AH131" s="218">
        <v>14292</v>
      </c>
      <c r="AI131" s="219" t="s">
        <v>224</v>
      </c>
      <c r="AJ131" s="220">
        <v>6000</v>
      </c>
      <c r="AK131" s="220" t="s">
        <v>200</v>
      </c>
      <c r="AL131" s="220">
        <v>2900</v>
      </c>
      <c r="AM131" s="221" t="s">
        <v>94</v>
      </c>
      <c r="AN131" s="40">
        <v>53200</v>
      </c>
      <c r="AO131" s="41" t="s">
        <v>331</v>
      </c>
      <c r="AP131" s="41" t="s">
        <v>332</v>
      </c>
      <c r="AQ131" s="27">
        <v>3000</v>
      </c>
      <c r="AR131" s="27" t="s">
        <v>94</v>
      </c>
      <c r="AS131" s="27">
        <v>900</v>
      </c>
      <c r="AT131" s="29">
        <v>41</v>
      </c>
      <c r="AU131" s="29" t="s">
        <v>100</v>
      </c>
      <c r="AV131" s="31">
        <v>42</v>
      </c>
      <c r="AW131" s="31" t="s">
        <v>100</v>
      </c>
      <c r="AX131" s="209"/>
      <c r="AY131" s="285"/>
      <c r="AZ131" s="285"/>
      <c r="BA131" s="286"/>
      <c r="BB131" s="286"/>
      <c r="BC131" s="44" t="s">
        <v>204</v>
      </c>
      <c r="BD131" s="33" t="s">
        <v>103</v>
      </c>
      <c r="BE131" s="271" t="s">
        <v>104</v>
      </c>
      <c r="BF131" s="271" t="s">
        <v>105</v>
      </c>
      <c r="BG131" s="269">
        <v>0</v>
      </c>
      <c r="BH131" s="42">
        <v>24000</v>
      </c>
      <c r="BI131" s="47" t="s">
        <v>100</v>
      </c>
      <c r="BJ131" s="32" t="s">
        <v>309</v>
      </c>
      <c r="BK131" s="32">
        <v>500</v>
      </c>
      <c r="BL131" s="26" t="s">
        <v>106</v>
      </c>
      <c r="BM131" s="26" t="s">
        <v>107</v>
      </c>
      <c r="BN131" s="209">
        <v>0</v>
      </c>
      <c r="BO131" s="26" t="s">
        <v>108</v>
      </c>
      <c r="BP131" s="34" t="s">
        <v>109</v>
      </c>
      <c r="BQ131" s="209">
        <v>4000</v>
      </c>
      <c r="BR131" s="26" t="s">
        <v>108</v>
      </c>
      <c r="BS131" s="34" t="s">
        <v>110</v>
      </c>
      <c r="BT131" s="209">
        <v>5500</v>
      </c>
      <c r="BU131" s="211">
        <v>11000</v>
      </c>
      <c r="BV131" s="212" t="s">
        <v>100</v>
      </c>
      <c r="BW131" s="212" t="s">
        <v>286</v>
      </c>
      <c r="BX131" s="213" t="s">
        <v>100</v>
      </c>
      <c r="BY131" s="213" t="s">
        <v>100</v>
      </c>
      <c r="BZ131" s="45">
        <v>2000</v>
      </c>
    </row>
    <row r="132" spans="3:78" ht="25.5" customHeight="1">
      <c r="C132" s="1"/>
      <c r="D132" s="296"/>
      <c r="E132" s="299"/>
      <c r="F132" s="308"/>
      <c r="G132" s="74">
        <v>315</v>
      </c>
      <c r="H132" s="62">
        <v>250</v>
      </c>
      <c r="I132" s="62">
        <v>6000</v>
      </c>
      <c r="J132" s="62">
        <v>6000</v>
      </c>
      <c r="K132" s="62">
        <v>50</v>
      </c>
      <c r="L132" s="62">
        <v>32</v>
      </c>
      <c r="M132" s="84" t="s">
        <v>224</v>
      </c>
      <c r="N132" s="63">
        <f>N108+13896</f>
        <v>168291</v>
      </c>
      <c r="O132" s="62" t="s">
        <v>89</v>
      </c>
      <c r="P132" s="62">
        <v>6</v>
      </c>
      <c r="Q132" s="64" t="s">
        <v>198</v>
      </c>
      <c r="R132" s="64" t="s">
        <v>91</v>
      </c>
      <c r="S132" s="64" t="s">
        <v>199</v>
      </c>
      <c r="T132" s="65" t="s">
        <v>92</v>
      </c>
      <c r="U132" s="65" t="s">
        <v>93</v>
      </c>
      <c r="V132" s="62" t="s">
        <v>94</v>
      </c>
      <c r="W132" s="62">
        <v>31</v>
      </c>
      <c r="X132" s="66" t="s">
        <v>95</v>
      </c>
      <c r="Y132" s="66" t="s">
        <v>96</v>
      </c>
      <c r="Z132" s="87">
        <v>6000</v>
      </c>
      <c r="AA132" s="84" t="s">
        <v>205</v>
      </c>
      <c r="AB132" s="87">
        <v>2900</v>
      </c>
      <c r="AC132" s="62" t="s">
        <v>97</v>
      </c>
      <c r="AD132" s="75" t="s">
        <v>97</v>
      </c>
      <c r="AE132" s="35"/>
      <c r="AF132" s="37">
        <f>AF108+13896</f>
        <v>159027</v>
      </c>
      <c r="AG132" s="29" t="s">
        <v>98</v>
      </c>
      <c r="AH132" s="222">
        <v>14668</v>
      </c>
      <c r="AI132" s="223" t="s">
        <v>225</v>
      </c>
      <c r="AJ132" s="224">
        <v>8000</v>
      </c>
      <c r="AK132" s="224" t="s">
        <v>201</v>
      </c>
      <c r="AL132" s="224">
        <v>3300</v>
      </c>
      <c r="AM132" s="225" t="s">
        <v>94</v>
      </c>
      <c r="AN132" s="40">
        <v>53200</v>
      </c>
      <c r="AO132" s="41" t="s">
        <v>331</v>
      </c>
      <c r="AP132" s="41" t="s">
        <v>332</v>
      </c>
      <c r="AQ132" s="27">
        <v>3000</v>
      </c>
      <c r="AR132" s="27" t="s">
        <v>94</v>
      </c>
      <c r="AS132" s="27">
        <v>900</v>
      </c>
      <c r="AT132" s="29">
        <v>41</v>
      </c>
      <c r="AU132" s="29" t="s">
        <v>100</v>
      </c>
      <c r="AV132" s="31">
        <v>42</v>
      </c>
      <c r="AW132" s="31" t="s">
        <v>100</v>
      </c>
      <c r="AX132" s="209"/>
      <c r="AY132" s="285"/>
      <c r="AZ132" s="285"/>
      <c r="BA132" s="286"/>
      <c r="BB132" s="286"/>
      <c r="BC132" s="44" t="s">
        <v>204</v>
      </c>
      <c r="BD132" s="33" t="s">
        <v>103</v>
      </c>
      <c r="BE132" s="271" t="s">
        <v>104</v>
      </c>
      <c r="BF132" s="271" t="s">
        <v>105</v>
      </c>
      <c r="BG132" s="269">
        <v>0</v>
      </c>
      <c r="BH132" s="42">
        <v>24000</v>
      </c>
      <c r="BI132" s="47" t="s">
        <v>100</v>
      </c>
      <c r="BJ132" s="32" t="s">
        <v>309</v>
      </c>
      <c r="BK132" s="32">
        <v>500</v>
      </c>
      <c r="BL132" s="26" t="s">
        <v>106</v>
      </c>
      <c r="BM132" s="26" t="s">
        <v>107</v>
      </c>
      <c r="BN132" s="209">
        <v>0</v>
      </c>
      <c r="BO132" s="26" t="s">
        <v>108</v>
      </c>
      <c r="BP132" s="34" t="s">
        <v>109</v>
      </c>
      <c r="BQ132" s="209">
        <v>4000</v>
      </c>
      <c r="BR132" s="26" t="s">
        <v>108</v>
      </c>
      <c r="BS132" s="34" t="s">
        <v>110</v>
      </c>
      <c r="BT132" s="209">
        <v>5500</v>
      </c>
      <c r="BU132" s="211">
        <v>11000</v>
      </c>
      <c r="BV132" s="212" t="s">
        <v>100</v>
      </c>
      <c r="BW132" s="212" t="s">
        <v>286</v>
      </c>
      <c r="BX132" s="213" t="s">
        <v>100</v>
      </c>
      <c r="BY132" s="213" t="s">
        <v>100</v>
      </c>
      <c r="BZ132" s="45">
        <v>2000</v>
      </c>
    </row>
    <row r="133" spans="3:78" ht="25.5" customHeight="1">
      <c r="C133" s="1"/>
      <c r="D133" s="296"/>
      <c r="E133" s="299"/>
      <c r="F133" s="308"/>
      <c r="G133" s="74">
        <v>350</v>
      </c>
      <c r="H133" s="62">
        <v>280</v>
      </c>
      <c r="I133" s="62">
        <v>6000</v>
      </c>
      <c r="J133" s="62">
        <v>6000</v>
      </c>
      <c r="K133" s="62">
        <v>50</v>
      </c>
      <c r="L133" s="62">
        <v>35</v>
      </c>
      <c r="M133" s="84" t="s">
        <v>224</v>
      </c>
      <c r="N133" s="63">
        <f>N109+13975</f>
        <v>169248</v>
      </c>
      <c r="O133" s="62" t="s">
        <v>89</v>
      </c>
      <c r="P133" s="62">
        <v>6</v>
      </c>
      <c r="Q133" s="64" t="s">
        <v>198</v>
      </c>
      <c r="R133" s="64" t="s">
        <v>91</v>
      </c>
      <c r="S133" s="64" t="s">
        <v>199</v>
      </c>
      <c r="T133" s="65" t="s">
        <v>92</v>
      </c>
      <c r="U133" s="65" t="s">
        <v>93</v>
      </c>
      <c r="V133" s="62" t="s">
        <v>94</v>
      </c>
      <c r="W133" s="62">
        <v>31</v>
      </c>
      <c r="X133" s="66" t="s">
        <v>95</v>
      </c>
      <c r="Y133" s="66" t="s">
        <v>96</v>
      </c>
      <c r="Z133" s="87">
        <v>6000</v>
      </c>
      <c r="AA133" s="84" t="s">
        <v>205</v>
      </c>
      <c r="AB133" s="87">
        <v>2900</v>
      </c>
      <c r="AC133" s="62" t="s">
        <v>97</v>
      </c>
      <c r="AD133" s="75" t="s">
        <v>97</v>
      </c>
      <c r="AE133" s="35"/>
      <c r="AF133" s="37">
        <f>AF109+13975</f>
        <v>159932</v>
      </c>
      <c r="AG133" s="29" t="s">
        <v>98</v>
      </c>
      <c r="AH133" s="226">
        <v>14751</v>
      </c>
      <c r="AI133" s="48" t="s">
        <v>225</v>
      </c>
      <c r="AJ133" s="39">
        <v>8000</v>
      </c>
      <c r="AK133" s="39" t="s">
        <v>201</v>
      </c>
      <c r="AL133" s="39">
        <v>3300</v>
      </c>
      <c r="AM133" s="30" t="s">
        <v>94</v>
      </c>
      <c r="AN133" s="40">
        <v>53200</v>
      </c>
      <c r="AO133" s="41" t="s">
        <v>331</v>
      </c>
      <c r="AP133" s="41" t="s">
        <v>332</v>
      </c>
      <c r="AQ133" s="27">
        <v>3000</v>
      </c>
      <c r="AR133" s="27" t="s">
        <v>94</v>
      </c>
      <c r="AS133" s="27">
        <v>900</v>
      </c>
      <c r="AT133" s="29">
        <v>41</v>
      </c>
      <c r="AU133" s="29" t="s">
        <v>100</v>
      </c>
      <c r="AV133" s="31">
        <v>42</v>
      </c>
      <c r="AW133" s="31" t="s">
        <v>100</v>
      </c>
      <c r="AX133" s="209"/>
      <c r="AY133" s="285"/>
      <c r="AZ133" s="285"/>
      <c r="BA133" s="286"/>
      <c r="BB133" s="286"/>
      <c r="BC133" s="44" t="s">
        <v>204</v>
      </c>
      <c r="BD133" s="33" t="s">
        <v>103</v>
      </c>
      <c r="BE133" s="271" t="s">
        <v>104</v>
      </c>
      <c r="BF133" s="271" t="s">
        <v>105</v>
      </c>
      <c r="BG133" s="269">
        <v>0</v>
      </c>
      <c r="BH133" s="42">
        <v>24000</v>
      </c>
      <c r="BI133" s="47" t="s">
        <v>100</v>
      </c>
      <c r="BJ133" s="32" t="s">
        <v>309</v>
      </c>
      <c r="BK133" s="32">
        <v>500</v>
      </c>
      <c r="BL133" s="26" t="s">
        <v>106</v>
      </c>
      <c r="BM133" s="26" t="s">
        <v>107</v>
      </c>
      <c r="BN133" s="209">
        <v>0</v>
      </c>
      <c r="BO133" s="26" t="s">
        <v>108</v>
      </c>
      <c r="BP133" s="34" t="s">
        <v>109</v>
      </c>
      <c r="BQ133" s="209">
        <v>4000</v>
      </c>
      <c r="BR133" s="26" t="s">
        <v>108</v>
      </c>
      <c r="BS133" s="34" t="s">
        <v>110</v>
      </c>
      <c r="BT133" s="209">
        <v>5500</v>
      </c>
      <c r="BU133" s="211">
        <v>11000</v>
      </c>
      <c r="BV133" s="212" t="s">
        <v>100</v>
      </c>
      <c r="BW133" s="212" t="s">
        <v>286</v>
      </c>
      <c r="BX133" s="213" t="s">
        <v>100</v>
      </c>
      <c r="BY133" s="213" t="s">
        <v>100</v>
      </c>
      <c r="BZ133" s="45">
        <v>2000</v>
      </c>
    </row>
    <row r="134" spans="3:78" ht="25.5" customHeight="1">
      <c r="C134" s="1"/>
      <c r="D134" s="296"/>
      <c r="E134" s="299"/>
      <c r="F134" s="308"/>
      <c r="G134" s="74">
        <v>375</v>
      </c>
      <c r="H134" s="62">
        <v>300</v>
      </c>
      <c r="I134" s="62">
        <v>6000</v>
      </c>
      <c r="J134" s="62">
        <v>6000</v>
      </c>
      <c r="K134" s="62">
        <v>50</v>
      </c>
      <c r="L134" s="62">
        <v>38</v>
      </c>
      <c r="M134" s="84" t="s">
        <v>224</v>
      </c>
      <c r="N134" s="63">
        <f>N110+14443</f>
        <v>174924</v>
      </c>
      <c r="O134" s="62" t="s">
        <v>89</v>
      </c>
      <c r="P134" s="62">
        <v>6</v>
      </c>
      <c r="Q134" s="64" t="s">
        <v>198</v>
      </c>
      <c r="R134" s="64" t="s">
        <v>91</v>
      </c>
      <c r="S134" s="64" t="s">
        <v>199</v>
      </c>
      <c r="T134" s="65" t="s">
        <v>92</v>
      </c>
      <c r="U134" s="65" t="s">
        <v>93</v>
      </c>
      <c r="V134" s="62" t="s">
        <v>94</v>
      </c>
      <c r="W134" s="62">
        <v>31</v>
      </c>
      <c r="X134" s="66" t="s">
        <v>95</v>
      </c>
      <c r="Y134" s="66" t="s">
        <v>96</v>
      </c>
      <c r="Z134" s="87">
        <v>6000</v>
      </c>
      <c r="AA134" s="84" t="s">
        <v>205</v>
      </c>
      <c r="AB134" s="87">
        <v>2900</v>
      </c>
      <c r="AC134" s="62" t="s">
        <v>97</v>
      </c>
      <c r="AD134" s="75" t="s">
        <v>97</v>
      </c>
      <c r="AE134" s="35"/>
      <c r="AF134" s="37">
        <f>AF110+14443</f>
        <v>165295</v>
      </c>
      <c r="AG134" s="29" t="s">
        <v>98</v>
      </c>
      <c r="AH134" s="226">
        <v>15246</v>
      </c>
      <c r="AI134" s="48" t="s">
        <v>225</v>
      </c>
      <c r="AJ134" s="39">
        <v>8000</v>
      </c>
      <c r="AK134" s="39" t="s">
        <v>201</v>
      </c>
      <c r="AL134" s="39">
        <v>3300</v>
      </c>
      <c r="AM134" s="30" t="s">
        <v>94</v>
      </c>
      <c r="AN134" s="40">
        <v>53200</v>
      </c>
      <c r="AO134" s="41" t="s">
        <v>331</v>
      </c>
      <c r="AP134" s="41" t="s">
        <v>332</v>
      </c>
      <c r="AQ134" s="27">
        <v>3000</v>
      </c>
      <c r="AR134" s="27" t="s">
        <v>94</v>
      </c>
      <c r="AS134" s="27">
        <v>900</v>
      </c>
      <c r="AT134" s="29">
        <v>41</v>
      </c>
      <c r="AU134" s="29" t="s">
        <v>100</v>
      </c>
      <c r="AV134" s="31">
        <v>42</v>
      </c>
      <c r="AW134" s="31" t="s">
        <v>100</v>
      </c>
      <c r="AX134" s="209"/>
      <c r="AY134" s="285"/>
      <c r="AZ134" s="285"/>
      <c r="BA134" s="286"/>
      <c r="BB134" s="286"/>
      <c r="BC134" s="44" t="s">
        <v>204</v>
      </c>
      <c r="BD134" s="33" t="s">
        <v>103</v>
      </c>
      <c r="BE134" s="271" t="s">
        <v>104</v>
      </c>
      <c r="BF134" s="271" t="s">
        <v>105</v>
      </c>
      <c r="BG134" s="269">
        <v>0</v>
      </c>
      <c r="BH134" s="42">
        <v>24000</v>
      </c>
      <c r="BI134" s="47" t="s">
        <v>100</v>
      </c>
      <c r="BJ134" s="32" t="s">
        <v>309</v>
      </c>
      <c r="BK134" s="32">
        <v>500</v>
      </c>
      <c r="BL134" s="26" t="s">
        <v>106</v>
      </c>
      <c r="BM134" s="26" t="s">
        <v>107</v>
      </c>
      <c r="BN134" s="209">
        <v>0</v>
      </c>
      <c r="BO134" s="26" t="s">
        <v>108</v>
      </c>
      <c r="BP134" s="34" t="s">
        <v>109</v>
      </c>
      <c r="BQ134" s="209">
        <v>4000</v>
      </c>
      <c r="BR134" s="26" t="s">
        <v>108</v>
      </c>
      <c r="BS134" s="34" t="s">
        <v>110</v>
      </c>
      <c r="BT134" s="209">
        <v>5500</v>
      </c>
      <c r="BU134" s="211">
        <v>11000</v>
      </c>
      <c r="BV134" s="212" t="s">
        <v>100</v>
      </c>
      <c r="BW134" s="212" t="s">
        <v>286</v>
      </c>
      <c r="BX134" s="213" t="s">
        <v>100</v>
      </c>
      <c r="BY134" s="213" t="s">
        <v>100</v>
      </c>
      <c r="BZ134" s="45">
        <v>2000</v>
      </c>
    </row>
    <row r="135" spans="3:78" ht="25.5" customHeight="1" thickBot="1">
      <c r="C135" s="1"/>
      <c r="D135" s="296"/>
      <c r="E135" s="299"/>
      <c r="F135" s="308"/>
      <c r="G135" s="76">
        <v>420</v>
      </c>
      <c r="H135" s="77">
        <v>335</v>
      </c>
      <c r="I135" s="77">
        <v>6000</v>
      </c>
      <c r="J135" s="77">
        <v>6000</v>
      </c>
      <c r="K135" s="77">
        <v>50</v>
      </c>
      <c r="L135" s="77">
        <v>42</v>
      </c>
      <c r="M135" s="85" t="s">
        <v>224</v>
      </c>
      <c r="N135" s="78">
        <f>N111+14544</f>
        <v>176146</v>
      </c>
      <c r="O135" s="77" t="s">
        <v>89</v>
      </c>
      <c r="P135" s="77">
        <v>6</v>
      </c>
      <c r="Q135" s="79" t="s">
        <v>198</v>
      </c>
      <c r="R135" s="79" t="s">
        <v>91</v>
      </c>
      <c r="S135" s="79" t="s">
        <v>199</v>
      </c>
      <c r="T135" s="80" t="s">
        <v>92</v>
      </c>
      <c r="U135" s="80" t="s">
        <v>93</v>
      </c>
      <c r="V135" s="77" t="s">
        <v>94</v>
      </c>
      <c r="W135" s="77">
        <v>31</v>
      </c>
      <c r="X135" s="81" t="s">
        <v>95</v>
      </c>
      <c r="Y135" s="81" t="s">
        <v>96</v>
      </c>
      <c r="Z135" s="88">
        <v>6000</v>
      </c>
      <c r="AA135" s="85" t="s">
        <v>205</v>
      </c>
      <c r="AB135" s="88">
        <v>2900</v>
      </c>
      <c r="AC135" s="77" t="s">
        <v>97</v>
      </c>
      <c r="AD135" s="82" t="s">
        <v>97</v>
      </c>
      <c r="AE135" s="35"/>
      <c r="AF135" s="37">
        <f>AF111+14544</f>
        <v>166450</v>
      </c>
      <c r="AG135" s="29" t="s">
        <v>98</v>
      </c>
      <c r="AH135" s="226">
        <v>15352</v>
      </c>
      <c r="AI135" s="48" t="s">
        <v>225</v>
      </c>
      <c r="AJ135" s="39">
        <v>8000</v>
      </c>
      <c r="AK135" s="39" t="s">
        <v>201</v>
      </c>
      <c r="AL135" s="39">
        <v>3300</v>
      </c>
      <c r="AM135" s="30" t="s">
        <v>94</v>
      </c>
      <c r="AN135" s="40">
        <v>53200</v>
      </c>
      <c r="AO135" s="41" t="s">
        <v>331</v>
      </c>
      <c r="AP135" s="41" t="s">
        <v>332</v>
      </c>
      <c r="AQ135" s="27">
        <v>3000</v>
      </c>
      <c r="AR135" s="27" t="s">
        <v>94</v>
      </c>
      <c r="AS135" s="27">
        <v>900</v>
      </c>
      <c r="AT135" s="29">
        <v>41</v>
      </c>
      <c r="AU135" s="29" t="s">
        <v>100</v>
      </c>
      <c r="AV135" s="31">
        <v>42</v>
      </c>
      <c r="AW135" s="31" t="s">
        <v>100</v>
      </c>
      <c r="AX135" s="209"/>
      <c r="AY135" s="285"/>
      <c r="AZ135" s="285"/>
      <c r="BA135" s="286"/>
      <c r="BB135" s="286"/>
      <c r="BC135" s="44" t="s">
        <v>204</v>
      </c>
      <c r="BD135" s="33" t="s">
        <v>103</v>
      </c>
      <c r="BE135" s="271" t="s">
        <v>104</v>
      </c>
      <c r="BF135" s="271" t="s">
        <v>105</v>
      </c>
      <c r="BG135" s="269">
        <v>0</v>
      </c>
      <c r="BH135" s="42">
        <v>24000</v>
      </c>
      <c r="BI135" s="47" t="s">
        <v>100</v>
      </c>
      <c r="BJ135" s="32" t="s">
        <v>309</v>
      </c>
      <c r="BK135" s="32">
        <v>500</v>
      </c>
      <c r="BL135" s="26" t="s">
        <v>106</v>
      </c>
      <c r="BM135" s="26" t="s">
        <v>107</v>
      </c>
      <c r="BN135" s="209">
        <v>0</v>
      </c>
      <c r="BO135" s="26" t="s">
        <v>108</v>
      </c>
      <c r="BP135" s="34" t="s">
        <v>109</v>
      </c>
      <c r="BQ135" s="209">
        <v>4000</v>
      </c>
      <c r="BR135" s="26" t="s">
        <v>108</v>
      </c>
      <c r="BS135" s="34" t="s">
        <v>110</v>
      </c>
      <c r="BT135" s="209">
        <v>5500</v>
      </c>
      <c r="BU135" s="211">
        <v>11000</v>
      </c>
      <c r="BV135" s="212" t="s">
        <v>100</v>
      </c>
      <c r="BW135" s="212" t="s">
        <v>286</v>
      </c>
      <c r="BX135" s="213" t="s">
        <v>100</v>
      </c>
      <c r="BY135" s="213" t="s">
        <v>100</v>
      </c>
      <c r="BZ135" s="45">
        <v>2000</v>
      </c>
    </row>
    <row r="136" spans="3:78" ht="25.5" customHeight="1">
      <c r="C136" s="1"/>
      <c r="D136" s="296"/>
      <c r="E136" s="299"/>
      <c r="F136" s="308"/>
      <c r="G136" s="67">
        <v>470</v>
      </c>
      <c r="H136" s="68">
        <v>375</v>
      </c>
      <c r="I136" s="68">
        <v>6000</v>
      </c>
      <c r="J136" s="68">
        <v>6000</v>
      </c>
      <c r="K136" s="68">
        <v>50</v>
      </c>
      <c r="L136" s="68">
        <v>47</v>
      </c>
      <c r="M136" s="103" t="s">
        <v>225</v>
      </c>
      <c r="N136" s="69">
        <f>N112+14624</f>
        <v>177109</v>
      </c>
      <c r="O136" s="68" t="s">
        <v>89</v>
      </c>
      <c r="P136" s="68">
        <v>6</v>
      </c>
      <c r="Q136" s="70" t="s">
        <v>198</v>
      </c>
      <c r="R136" s="70" t="s">
        <v>91</v>
      </c>
      <c r="S136" s="70" t="s">
        <v>199</v>
      </c>
      <c r="T136" s="71" t="s">
        <v>92</v>
      </c>
      <c r="U136" s="71" t="s">
        <v>93</v>
      </c>
      <c r="V136" s="68" t="s">
        <v>94</v>
      </c>
      <c r="W136" s="68">
        <v>31</v>
      </c>
      <c r="X136" s="72" t="s">
        <v>95</v>
      </c>
      <c r="Y136" s="72" t="s">
        <v>96</v>
      </c>
      <c r="Z136" s="104">
        <v>8000</v>
      </c>
      <c r="AA136" s="103" t="s">
        <v>202</v>
      </c>
      <c r="AB136" s="104">
        <v>3300</v>
      </c>
      <c r="AC136" s="68" t="s">
        <v>97</v>
      </c>
      <c r="AD136" s="73" t="s">
        <v>97</v>
      </c>
      <c r="AE136" s="35"/>
      <c r="AF136" s="37">
        <f>AF112+14624</f>
        <v>167360</v>
      </c>
      <c r="AG136" s="29" t="s">
        <v>98</v>
      </c>
      <c r="AH136" s="226">
        <v>15436</v>
      </c>
      <c r="AI136" s="48" t="s">
        <v>225</v>
      </c>
      <c r="AJ136" s="39">
        <v>8000</v>
      </c>
      <c r="AK136" s="39" t="s">
        <v>201</v>
      </c>
      <c r="AL136" s="39">
        <v>3300</v>
      </c>
      <c r="AM136" s="30" t="s">
        <v>94</v>
      </c>
      <c r="AN136" s="40">
        <v>53200</v>
      </c>
      <c r="AO136" s="41" t="s">
        <v>331</v>
      </c>
      <c r="AP136" s="41" t="s">
        <v>332</v>
      </c>
      <c r="AQ136" s="27">
        <v>3000</v>
      </c>
      <c r="AR136" s="27" t="s">
        <v>94</v>
      </c>
      <c r="AS136" s="27">
        <v>900</v>
      </c>
      <c r="AT136" s="29">
        <v>41</v>
      </c>
      <c r="AU136" s="29" t="s">
        <v>100</v>
      </c>
      <c r="AV136" s="31">
        <v>42</v>
      </c>
      <c r="AW136" s="31" t="s">
        <v>100</v>
      </c>
      <c r="AX136" s="209"/>
      <c r="AY136" s="285"/>
      <c r="AZ136" s="285"/>
      <c r="BA136" s="286"/>
      <c r="BB136" s="286"/>
      <c r="BC136" s="44" t="s">
        <v>204</v>
      </c>
      <c r="BD136" s="33" t="s">
        <v>103</v>
      </c>
      <c r="BE136" s="271" t="s">
        <v>104</v>
      </c>
      <c r="BF136" s="271" t="s">
        <v>105</v>
      </c>
      <c r="BG136" s="269">
        <v>0</v>
      </c>
      <c r="BH136" s="42">
        <v>24000</v>
      </c>
      <c r="BI136" s="47" t="s">
        <v>100</v>
      </c>
      <c r="BJ136" s="32" t="s">
        <v>309</v>
      </c>
      <c r="BK136" s="32">
        <v>500</v>
      </c>
      <c r="BL136" s="26" t="s">
        <v>106</v>
      </c>
      <c r="BM136" s="26" t="s">
        <v>107</v>
      </c>
      <c r="BN136" s="209">
        <v>0</v>
      </c>
      <c r="BO136" s="26" t="s">
        <v>108</v>
      </c>
      <c r="BP136" s="34" t="s">
        <v>109</v>
      </c>
      <c r="BQ136" s="209">
        <v>4000</v>
      </c>
      <c r="BR136" s="26" t="s">
        <v>108</v>
      </c>
      <c r="BS136" s="34" t="s">
        <v>110</v>
      </c>
      <c r="BT136" s="209">
        <v>5500</v>
      </c>
      <c r="BU136" s="211">
        <v>11000</v>
      </c>
      <c r="BV136" s="212" t="s">
        <v>100</v>
      </c>
      <c r="BW136" s="212" t="s">
        <v>286</v>
      </c>
      <c r="BX136" s="213" t="s">
        <v>100</v>
      </c>
      <c r="BY136" s="213" t="s">
        <v>100</v>
      </c>
      <c r="BZ136" s="45">
        <v>2000</v>
      </c>
    </row>
    <row r="137" spans="3:78" ht="25.5" customHeight="1">
      <c r="C137" s="1"/>
      <c r="D137" s="296"/>
      <c r="E137" s="299"/>
      <c r="F137" s="308"/>
      <c r="G137" s="74">
        <v>500</v>
      </c>
      <c r="H137" s="62">
        <v>400</v>
      </c>
      <c r="I137" s="62">
        <v>6000</v>
      </c>
      <c r="J137" s="62">
        <v>6000</v>
      </c>
      <c r="K137" s="62">
        <v>50</v>
      </c>
      <c r="L137" s="62">
        <v>50</v>
      </c>
      <c r="M137" s="101" t="s">
        <v>225</v>
      </c>
      <c r="N137" s="63">
        <f>N113+14635</f>
        <v>177242</v>
      </c>
      <c r="O137" s="62" t="s">
        <v>89</v>
      </c>
      <c r="P137" s="62">
        <v>6</v>
      </c>
      <c r="Q137" s="64" t="s">
        <v>198</v>
      </c>
      <c r="R137" s="64" t="s">
        <v>91</v>
      </c>
      <c r="S137" s="64" t="s">
        <v>199</v>
      </c>
      <c r="T137" s="65" t="s">
        <v>92</v>
      </c>
      <c r="U137" s="65" t="s">
        <v>93</v>
      </c>
      <c r="V137" s="62" t="s">
        <v>94</v>
      </c>
      <c r="W137" s="62">
        <v>31</v>
      </c>
      <c r="X137" s="66" t="s">
        <v>95</v>
      </c>
      <c r="Y137" s="66" t="s">
        <v>96</v>
      </c>
      <c r="Z137" s="102">
        <v>8000</v>
      </c>
      <c r="AA137" s="101" t="s">
        <v>202</v>
      </c>
      <c r="AB137" s="102">
        <v>3300</v>
      </c>
      <c r="AC137" s="62" t="s">
        <v>97</v>
      </c>
      <c r="AD137" s="75" t="s">
        <v>97</v>
      </c>
      <c r="AE137" s="35"/>
      <c r="AF137" s="37">
        <f>AF113+14635</f>
        <v>167486</v>
      </c>
      <c r="AG137" s="29" t="s">
        <v>98</v>
      </c>
      <c r="AH137" s="226">
        <v>15448</v>
      </c>
      <c r="AI137" s="48" t="s">
        <v>225</v>
      </c>
      <c r="AJ137" s="39">
        <v>8000</v>
      </c>
      <c r="AK137" s="39" t="s">
        <v>201</v>
      </c>
      <c r="AL137" s="39">
        <v>3300</v>
      </c>
      <c r="AM137" s="30" t="s">
        <v>94</v>
      </c>
      <c r="AN137" s="40">
        <v>53200</v>
      </c>
      <c r="AO137" s="41" t="s">
        <v>331</v>
      </c>
      <c r="AP137" s="41" t="s">
        <v>332</v>
      </c>
      <c r="AQ137" s="27">
        <v>3000</v>
      </c>
      <c r="AR137" s="27" t="s">
        <v>94</v>
      </c>
      <c r="AS137" s="27">
        <v>900</v>
      </c>
      <c r="AT137" s="29">
        <v>41</v>
      </c>
      <c r="AU137" s="29" t="s">
        <v>100</v>
      </c>
      <c r="AV137" s="31">
        <v>42</v>
      </c>
      <c r="AW137" s="31" t="s">
        <v>100</v>
      </c>
      <c r="AX137" s="209"/>
      <c r="AY137" s="285"/>
      <c r="AZ137" s="285"/>
      <c r="BA137" s="286"/>
      <c r="BB137" s="286"/>
      <c r="BC137" s="44" t="s">
        <v>204</v>
      </c>
      <c r="BD137" s="33" t="s">
        <v>103</v>
      </c>
      <c r="BE137" s="271" t="s">
        <v>104</v>
      </c>
      <c r="BF137" s="271" t="s">
        <v>105</v>
      </c>
      <c r="BG137" s="269">
        <v>0</v>
      </c>
      <c r="BH137" s="42">
        <v>24000</v>
      </c>
      <c r="BI137" s="47" t="s">
        <v>100</v>
      </c>
      <c r="BJ137" s="32" t="s">
        <v>309</v>
      </c>
      <c r="BK137" s="32">
        <v>500</v>
      </c>
      <c r="BL137" s="26" t="s">
        <v>106</v>
      </c>
      <c r="BM137" s="26" t="s">
        <v>107</v>
      </c>
      <c r="BN137" s="209">
        <v>0</v>
      </c>
      <c r="BO137" s="26" t="s">
        <v>108</v>
      </c>
      <c r="BP137" s="34" t="s">
        <v>109</v>
      </c>
      <c r="BQ137" s="209">
        <v>4000</v>
      </c>
      <c r="BR137" s="26" t="s">
        <v>108</v>
      </c>
      <c r="BS137" s="34" t="s">
        <v>110</v>
      </c>
      <c r="BT137" s="209">
        <v>5500</v>
      </c>
      <c r="BU137" s="211">
        <v>11000</v>
      </c>
      <c r="BV137" s="212" t="s">
        <v>100</v>
      </c>
      <c r="BW137" s="212" t="s">
        <v>286</v>
      </c>
      <c r="BX137" s="213" t="s">
        <v>100</v>
      </c>
      <c r="BY137" s="213" t="s">
        <v>100</v>
      </c>
      <c r="BZ137" s="45">
        <v>2000</v>
      </c>
    </row>
    <row r="138" spans="3:78" ht="25.5" customHeight="1">
      <c r="C138" s="1"/>
      <c r="D138" s="296"/>
      <c r="E138" s="299"/>
      <c r="F138" s="308"/>
      <c r="G138" s="74">
        <v>535</v>
      </c>
      <c r="H138" s="62">
        <v>425</v>
      </c>
      <c r="I138" s="62">
        <v>6000</v>
      </c>
      <c r="J138" s="62">
        <v>6000</v>
      </c>
      <c r="K138" s="62">
        <v>50</v>
      </c>
      <c r="L138" s="62">
        <v>53</v>
      </c>
      <c r="M138" s="101" t="s">
        <v>225</v>
      </c>
      <c r="N138" s="63">
        <f>N114+14695</f>
        <v>177968</v>
      </c>
      <c r="O138" s="62" t="s">
        <v>89</v>
      </c>
      <c r="P138" s="62">
        <v>6</v>
      </c>
      <c r="Q138" s="64" t="s">
        <v>198</v>
      </c>
      <c r="R138" s="64" t="s">
        <v>91</v>
      </c>
      <c r="S138" s="64" t="s">
        <v>199</v>
      </c>
      <c r="T138" s="65" t="s">
        <v>92</v>
      </c>
      <c r="U138" s="65" t="s">
        <v>93</v>
      </c>
      <c r="V138" s="62" t="s">
        <v>94</v>
      </c>
      <c r="W138" s="62">
        <v>31</v>
      </c>
      <c r="X138" s="66" t="s">
        <v>95</v>
      </c>
      <c r="Y138" s="66" t="s">
        <v>96</v>
      </c>
      <c r="Z138" s="102">
        <v>8000</v>
      </c>
      <c r="AA138" s="101" t="s">
        <v>202</v>
      </c>
      <c r="AB138" s="102">
        <v>3300</v>
      </c>
      <c r="AC138" s="62" t="s">
        <v>97</v>
      </c>
      <c r="AD138" s="75" t="s">
        <v>97</v>
      </c>
      <c r="AE138" s="35"/>
      <c r="AF138" s="37">
        <f>AF114+14695</f>
        <v>168172</v>
      </c>
      <c r="AG138" s="29" t="s">
        <v>98</v>
      </c>
      <c r="AH138" s="226">
        <v>15511</v>
      </c>
      <c r="AI138" s="48" t="s">
        <v>225</v>
      </c>
      <c r="AJ138" s="39">
        <v>8000</v>
      </c>
      <c r="AK138" s="39" t="s">
        <v>201</v>
      </c>
      <c r="AL138" s="39">
        <v>3300</v>
      </c>
      <c r="AM138" s="30" t="s">
        <v>94</v>
      </c>
      <c r="AN138" s="40">
        <v>53200</v>
      </c>
      <c r="AO138" s="41" t="s">
        <v>331</v>
      </c>
      <c r="AP138" s="41" t="s">
        <v>332</v>
      </c>
      <c r="AQ138" s="27">
        <v>3000</v>
      </c>
      <c r="AR138" s="27" t="s">
        <v>94</v>
      </c>
      <c r="AS138" s="27">
        <v>900</v>
      </c>
      <c r="AT138" s="29">
        <v>41</v>
      </c>
      <c r="AU138" s="29" t="s">
        <v>100</v>
      </c>
      <c r="AV138" s="31">
        <v>42</v>
      </c>
      <c r="AW138" s="31" t="s">
        <v>100</v>
      </c>
      <c r="AX138" s="209"/>
      <c r="AY138" s="285"/>
      <c r="AZ138" s="285"/>
      <c r="BA138" s="286"/>
      <c r="BB138" s="286"/>
      <c r="BC138" s="44" t="s">
        <v>204</v>
      </c>
      <c r="BD138" s="33" t="s">
        <v>103</v>
      </c>
      <c r="BE138" s="271" t="s">
        <v>104</v>
      </c>
      <c r="BF138" s="271" t="s">
        <v>105</v>
      </c>
      <c r="BG138" s="269">
        <v>0</v>
      </c>
      <c r="BH138" s="42">
        <v>24000</v>
      </c>
      <c r="BI138" s="47" t="s">
        <v>100</v>
      </c>
      <c r="BJ138" s="32" t="s">
        <v>309</v>
      </c>
      <c r="BK138" s="32">
        <v>500</v>
      </c>
      <c r="BL138" s="26" t="s">
        <v>106</v>
      </c>
      <c r="BM138" s="26" t="s">
        <v>107</v>
      </c>
      <c r="BN138" s="209">
        <v>0</v>
      </c>
      <c r="BO138" s="26" t="s">
        <v>108</v>
      </c>
      <c r="BP138" s="34" t="s">
        <v>109</v>
      </c>
      <c r="BQ138" s="209">
        <v>4000</v>
      </c>
      <c r="BR138" s="26" t="s">
        <v>108</v>
      </c>
      <c r="BS138" s="34" t="s">
        <v>110</v>
      </c>
      <c r="BT138" s="209">
        <v>5500</v>
      </c>
      <c r="BU138" s="211">
        <v>11000</v>
      </c>
      <c r="BV138" s="212" t="s">
        <v>100</v>
      </c>
      <c r="BW138" s="212" t="s">
        <v>286</v>
      </c>
      <c r="BX138" s="213" t="s">
        <v>100</v>
      </c>
      <c r="BY138" s="213" t="s">
        <v>100</v>
      </c>
      <c r="BZ138" s="45">
        <v>2000</v>
      </c>
    </row>
    <row r="139" spans="3:78" ht="25.5" customHeight="1">
      <c r="C139" s="1"/>
      <c r="D139" s="296"/>
      <c r="E139" s="299"/>
      <c r="F139" s="308"/>
      <c r="G139" s="74">
        <v>565</v>
      </c>
      <c r="H139" s="62">
        <v>450</v>
      </c>
      <c r="I139" s="62">
        <v>6000</v>
      </c>
      <c r="J139" s="62">
        <v>6000</v>
      </c>
      <c r="K139" s="62">
        <v>50</v>
      </c>
      <c r="L139" s="62">
        <v>56</v>
      </c>
      <c r="M139" s="101" t="s">
        <v>225</v>
      </c>
      <c r="N139" s="63">
        <f>N115+14719</f>
        <v>178262</v>
      </c>
      <c r="O139" s="62" t="s">
        <v>89</v>
      </c>
      <c r="P139" s="62">
        <v>6</v>
      </c>
      <c r="Q139" s="64" t="s">
        <v>198</v>
      </c>
      <c r="R139" s="64" t="s">
        <v>91</v>
      </c>
      <c r="S139" s="64" t="s">
        <v>199</v>
      </c>
      <c r="T139" s="65" t="s">
        <v>92</v>
      </c>
      <c r="U139" s="65" t="s">
        <v>93</v>
      </c>
      <c r="V139" s="62" t="s">
        <v>94</v>
      </c>
      <c r="W139" s="62">
        <v>31</v>
      </c>
      <c r="X139" s="66" t="s">
        <v>95</v>
      </c>
      <c r="Y139" s="66" t="s">
        <v>96</v>
      </c>
      <c r="Z139" s="102">
        <v>8000</v>
      </c>
      <c r="AA139" s="101" t="s">
        <v>202</v>
      </c>
      <c r="AB139" s="102">
        <v>3300</v>
      </c>
      <c r="AC139" s="62" t="s">
        <v>97</v>
      </c>
      <c r="AD139" s="75" t="s">
        <v>97</v>
      </c>
      <c r="AE139" s="35"/>
      <c r="AF139" s="37">
        <f>AF115+14719</f>
        <v>168449</v>
      </c>
      <c r="AG139" s="29" t="s">
        <v>98</v>
      </c>
      <c r="AH139" s="226">
        <v>15537</v>
      </c>
      <c r="AI139" s="48" t="s">
        <v>225</v>
      </c>
      <c r="AJ139" s="39">
        <v>8000</v>
      </c>
      <c r="AK139" s="39" t="s">
        <v>201</v>
      </c>
      <c r="AL139" s="39">
        <v>3300</v>
      </c>
      <c r="AM139" s="30" t="s">
        <v>94</v>
      </c>
      <c r="AN139" s="40">
        <v>53200</v>
      </c>
      <c r="AO139" s="41" t="s">
        <v>331</v>
      </c>
      <c r="AP139" s="41" t="s">
        <v>332</v>
      </c>
      <c r="AQ139" s="27">
        <v>3000</v>
      </c>
      <c r="AR139" s="27" t="s">
        <v>94</v>
      </c>
      <c r="AS139" s="27">
        <v>900</v>
      </c>
      <c r="AT139" s="29">
        <v>41</v>
      </c>
      <c r="AU139" s="29" t="s">
        <v>100</v>
      </c>
      <c r="AV139" s="31">
        <v>42</v>
      </c>
      <c r="AW139" s="31" t="s">
        <v>100</v>
      </c>
      <c r="AX139" s="209"/>
      <c r="AY139" s="285"/>
      <c r="AZ139" s="285"/>
      <c r="BA139" s="286"/>
      <c r="BB139" s="286"/>
      <c r="BC139" s="44" t="s">
        <v>204</v>
      </c>
      <c r="BD139" s="33" t="s">
        <v>103</v>
      </c>
      <c r="BE139" s="271" t="s">
        <v>104</v>
      </c>
      <c r="BF139" s="271" t="s">
        <v>105</v>
      </c>
      <c r="BG139" s="269">
        <v>0</v>
      </c>
      <c r="BH139" s="42">
        <v>24000</v>
      </c>
      <c r="BI139" s="47" t="s">
        <v>100</v>
      </c>
      <c r="BJ139" s="32" t="s">
        <v>309</v>
      </c>
      <c r="BK139" s="32">
        <v>500</v>
      </c>
      <c r="BL139" s="26" t="s">
        <v>106</v>
      </c>
      <c r="BM139" s="26" t="s">
        <v>107</v>
      </c>
      <c r="BN139" s="209">
        <v>0</v>
      </c>
      <c r="BO139" s="26" t="s">
        <v>108</v>
      </c>
      <c r="BP139" s="34" t="s">
        <v>109</v>
      </c>
      <c r="BQ139" s="209">
        <v>4000</v>
      </c>
      <c r="BR139" s="26" t="s">
        <v>108</v>
      </c>
      <c r="BS139" s="34" t="s">
        <v>110</v>
      </c>
      <c r="BT139" s="209">
        <v>5500</v>
      </c>
      <c r="BU139" s="211">
        <v>11000</v>
      </c>
      <c r="BV139" s="212" t="s">
        <v>100</v>
      </c>
      <c r="BW139" s="212" t="s">
        <v>286</v>
      </c>
      <c r="BX139" s="213" t="s">
        <v>100</v>
      </c>
      <c r="BY139" s="213" t="s">
        <v>100</v>
      </c>
      <c r="BZ139" s="45">
        <v>2000</v>
      </c>
    </row>
    <row r="140" spans="3:78" ht="25.5" customHeight="1">
      <c r="C140" s="1"/>
      <c r="D140" s="296"/>
      <c r="E140" s="299"/>
      <c r="F140" s="308"/>
      <c r="G140" s="74">
        <v>625</v>
      </c>
      <c r="H140" s="62">
        <v>500</v>
      </c>
      <c r="I140" s="62">
        <v>6000</v>
      </c>
      <c r="J140" s="62">
        <v>6000</v>
      </c>
      <c r="K140" s="62">
        <v>50</v>
      </c>
      <c r="L140" s="62">
        <v>63</v>
      </c>
      <c r="M140" s="101" t="s">
        <v>225</v>
      </c>
      <c r="N140" s="63">
        <f>N116+14880</f>
        <v>180209</v>
      </c>
      <c r="O140" s="62" t="s">
        <v>89</v>
      </c>
      <c r="P140" s="62">
        <v>6</v>
      </c>
      <c r="Q140" s="64" t="s">
        <v>198</v>
      </c>
      <c r="R140" s="64" t="s">
        <v>91</v>
      </c>
      <c r="S140" s="64" t="s">
        <v>199</v>
      </c>
      <c r="T140" s="65" t="s">
        <v>92</v>
      </c>
      <c r="U140" s="65" t="s">
        <v>93</v>
      </c>
      <c r="V140" s="62" t="s">
        <v>94</v>
      </c>
      <c r="W140" s="62">
        <v>31</v>
      </c>
      <c r="X140" s="66" t="s">
        <v>95</v>
      </c>
      <c r="Y140" s="66" t="s">
        <v>96</v>
      </c>
      <c r="Z140" s="102">
        <v>8000</v>
      </c>
      <c r="AA140" s="101" t="s">
        <v>202</v>
      </c>
      <c r="AB140" s="102">
        <v>3300</v>
      </c>
      <c r="AC140" s="62" t="s">
        <v>97</v>
      </c>
      <c r="AD140" s="75" t="s">
        <v>97</v>
      </c>
      <c r="AE140" s="35"/>
      <c r="AF140" s="37">
        <f>AF116+14880</f>
        <v>170289</v>
      </c>
      <c r="AG140" s="29" t="s">
        <v>98</v>
      </c>
      <c r="AH140" s="226">
        <v>15706</v>
      </c>
      <c r="AI140" s="48" t="s">
        <v>225</v>
      </c>
      <c r="AJ140" s="39">
        <v>8000</v>
      </c>
      <c r="AK140" s="39" t="s">
        <v>201</v>
      </c>
      <c r="AL140" s="39">
        <v>3300</v>
      </c>
      <c r="AM140" s="30" t="s">
        <v>94</v>
      </c>
      <c r="AN140" s="40">
        <v>53200</v>
      </c>
      <c r="AO140" s="41" t="s">
        <v>331</v>
      </c>
      <c r="AP140" s="41" t="s">
        <v>332</v>
      </c>
      <c r="AQ140" s="27">
        <v>3000</v>
      </c>
      <c r="AR140" s="27" t="s">
        <v>94</v>
      </c>
      <c r="AS140" s="27">
        <v>900</v>
      </c>
      <c r="AT140" s="29">
        <v>41</v>
      </c>
      <c r="AU140" s="29" t="s">
        <v>100</v>
      </c>
      <c r="AV140" s="31">
        <v>42</v>
      </c>
      <c r="AW140" s="31" t="s">
        <v>100</v>
      </c>
      <c r="AX140" s="209"/>
      <c r="AY140" s="285"/>
      <c r="AZ140" s="285"/>
      <c r="BA140" s="286"/>
      <c r="BB140" s="286"/>
      <c r="BC140" s="44" t="s">
        <v>204</v>
      </c>
      <c r="BD140" s="33" t="s">
        <v>103</v>
      </c>
      <c r="BE140" s="271" t="s">
        <v>104</v>
      </c>
      <c r="BF140" s="271" t="s">
        <v>105</v>
      </c>
      <c r="BG140" s="269">
        <v>0</v>
      </c>
      <c r="BH140" s="42">
        <v>24000</v>
      </c>
      <c r="BI140" s="47" t="s">
        <v>100</v>
      </c>
      <c r="BJ140" s="32" t="s">
        <v>309</v>
      </c>
      <c r="BK140" s="32">
        <v>500</v>
      </c>
      <c r="BL140" s="26" t="s">
        <v>106</v>
      </c>
      <c r="BM140" s="26" t="s">
        <v>107</v>
      </c>
      <c r="BN140" s="209">
        <v>0</v>
      </c>
      <c r="BO140" s="26" t="s">
        <v>108</v>
      </c>
      <c r="BP140" s="34" t="s">
        <v>109</v>
      </c>
      <c r="BQ140" s="209">
        <v>4000</v>
      </c>
      <c r="BR140" s="26" t="s">
        <v>108</v>
      </c>
      <c r="BS140" s="34" t="s">
        <v>110</v>
      </c>
      <c r="BT140" s="209">
        <v>5500</v>
      </c>
      <c r="BU140" s="211">
        <v>11000</v>
      </c>
      <c r="BV140" s="212" t="s">
        <v>100</v>
      </c>
      <c r="BW140" s="212" t="s">
        <v>286</v>
      </c>
      <c r="BX140" s="213" t="s">
        <v>100</v>
      </c>
      <c r="BY140" s="213" t="s">
        <v>100</v>
      </c>
      <c r="BZ140" s="45">
        <v>2000</v>
      </c>
    </row>
    <row r="141" spans="3:78" ht="26.25" customHeight="1">
      <c r="C141" s="1"/>
      <c r="D141" s="296"/>
      <c r="E141" s="299"/>
      <c r="F141" s="308"/>
      <c r="G141" s="74">
        <v>665</v>
      </c>
      <c r="H141" s="62">
        <v>530</v>
      </c>
      <c r="I141" s="62">
        <v>6000</v>
      </c>
      <c r="J141" s="62">
        <v>6000</v>
      </c>
      <c r="K141" s="62">
        <v>50</v>
      </c>
      <c r="L141" s="62">
        <v>66</v>
      </c>
      <c r="M141" s="101" t="s">
        <v>225</v>
      </c>
      <c r="N141" s="63">
        <f>N117+15738</f>
        <v>190605</v>
      </c>
      <c r="O141" s="62" t="s">
        <v>89</v>
      </c>
      <c r="P141" s="62">
        <v>6</v>
      </c>
      <c r="Q141" s="64" t="s">
        <v>198</v>
      </c>
      <c r="R141" s="64" t="s">
        <v>91</v>
      </c>
      <c r="S141" s="64" t="s">
        <v>199</v>
      </c>
      <c r="T141" s="65" t="s">
        <v>92</v>
      </c>
      <c r="U141" s="65" t="s">
        <v>93</v>
      </c>
      <c r="V141" s="62" t="s">
        <v>94</v>
      </c>
      <c r="W141" s="62">
        <v>31</v>
      </c>
      <c r="X141" s="66" t="s">
        <v>95</v>
      </c>
      <c r="Y141" s="66" t="s">
        <v>96</v>
      </c>
      <c r="Z141" s="102">
        <v>8000</v>
      </c>
      <c r="AA141" s="101" t="s">
        <v>202</v>
      </c>
      <c r="AB141" s="102">
        <v>3300</v>
      </c>
      <c r="AC141" s="62" t="s">
        <v>97</v>
      </c>
      <c r="AD141" s="75" t="s">
        <v>97</v>
      </c>
      <c r="AE141" s="35"/>
      <c r="AF141" s="37">
        <f>AF117+15738</f>
        <v>180113</v>
      </c>
      <c r="AG141" s="29" t="s">
        <v>98</v>
      </c>
      <c r="AH141" s="226">
        <v>16612</v>
      </c>
      <c r="AI141" s="48" t="s">
        <v>225</v>
      </c>
      <c r="AJ141" s="39">
        <v>8000</v>
      </c>
      <c r="AK141" s="39" t="s">
        <v>201</v>
      </c>
      <c r="AL141" s="39">
        <v>3300</v>
      </c>
      <c r="AM141" s="30" t="s">
        <v>94</v>
      </c>
      <c r="AN141" s="40">
        <v>53200</v>
      </c>
      <c r="AO141" s="41" t="s">
        <v>331</v>
      </c>
      <c r="AP141" s="41" t="s">
        <v>332</v>
      </c>
      <c r="AQ141" s="27">
        <v>3000</v>
      </c>
      <c r="AR141" s="27" t="s">
        <v>94</v>
      </c>
      <c r="AS141" s="27">
        <v>900</v>
      </c>
      <c r="AT141" s="29">
        <v>41</v>
      </c>
      <c r="AU141" s="29" t="s">
        <v>100</v>
      </c>
      <c r="AV141" s="31">
        <v>42</v>
      </c>
      <c r="AW141" s="31" t="s">
        <v>100</v>
      </c>
      <c r="AX141" s="209"/>
      <c r="AY141" s="285"/>
      <c r="AZ141" s="285"/>
      <c r="BA141" s="286"/>
      <c r="BB141" s="286"/>
      <c r="BC141" s="44" t="s">
        <v>204</v>
      </c>
      <c r="BD141" s="33" t="s">
        <v>103</v>
      </c>
      <c r="BE141" s="271" t="s">
        <v>104</v>
      </c>
      <c r="BF141" s="271" t="s">
        <v>105</v>
      </c>
      <c r="BG141" s="269">
        <v>0</v>
      </c>
      <c r="BH141" s="42">
        <v>24000</v>
      </c>
      <c r="BI141" s="47" t="s">
        <v>100</v>
      </c>
      <c r="BJ141" s="32" t="s">
        <v>309</v>
      </c>
      <c r="BK141" s="32">
        <v>500</v>
      </c>
      <c r="BL141" s="26" t="s">
        <v>106</v>
      </c>
      <c r="BM141" s="26" t="s">
        <v>107</v>
      </c>
      <c r="BN141" s="209">
        <v>0</v>
      </c>
      <c r="BO141" s="26" t="s">
        <v>108</v>
      </c>
      <c r="BP141" s="34" t="s">
        <v>109</v>
      </c>
      <c r="BQ141" s="209">
        <v>4000</v>
      </c>
      <c r="BR141" s="26" t="s">
        <v>108</v>
      </c>
      <c r="BS141" s="34" t="s">
        <v>110</v>
      </c>
      <c r="BT141" s="209">
        <v>5500</v>
      </c>
      <c r="BU141" s="211">
        <v>11000</v>
      </c>
      <c r="BV141" s="212" t="s">
        <v>100</v>
      </c>
      <c r="BW141" s="212" t="s">
        <v>286</v>
      </c>
      <c r="BX141" s="213" t="s">
        <v>100</v>
      </c>
      <c r="BY141" s="213" t="s">
        <v>100</v>
      </c>
      <c r="BZ141" s="45">
        <v>2000</v>
      </c>
    </row>
    <row r="142" spans="3:78" ht="25.5" customHeight="1" thickBot="1">
      <c r="C142" s="1"/>
      <c r="D142" s="296"/>
      <c r="E142" s="299"/>
      <c r="F142" s="308"/>
      <c r="G142" s="76">
        <v>700</v>
      </c>
      <c r="H142" s="77">
        <v>560</v>
      </c>
      <c r="I142" s="77">
        <v>6000</v>
      </c>
      <c r="J142" s="77">
        <v>6000</v>
      </c>
      <c r="K142" s="77">
        <v>50</v>
      </c>
      <c r="L142" s="77">
        <v>70</v>
      </c>
      <c r="M142" s="136" t="s">
        <v>225</v>
      </c>
      <c r="N142" s="78">
        <f>N118+15788</f>
        <v>191206</v>
      </c>
      <c r="O142" s="77" t="s">
        <v>89</v>
      </c>
      <c r="P142" s="77">
        <v>6</v>
      </c>
      <c r="Q142" s="79" t="s">
        <v>198</v>
      </c>
      <c r="R142" s="79" t="s">
        <v>91</v>
      </c>
      <c r="S142" s="79" t="s">
        <v>199</v>
      </c>
      <c r="T142" s="80" t="s">
        <v>92</v>
      </c>
      <c r="U142" s="80" t="s">
        <v>93</v>
      </c>
      <c r="V142" s="77" t="s">
        <v>94</v>
      </c>
      <c r="W142" s="77">
        <v>31</v>
      </c>
      <c r="X142" s="81" t="s">
        <v>95</v>
      </c>
      <c r="Y142" s="81" t="s">
        <v>96</v>
      </c>
      <c r="Z142" s="170">
        <v>8000</v>
      </c>
      <c r="AA142" s="136" t="s">
        <v>202</v>
      </c>
      <c r="AB142" s="170">
        <v>3300</v>
      </c>
      <c r="AC142" s="77" t="s">
        <v>97</v>
      </c>
      <c r="AD142" s="82" t="s">
        <v>97</v>
      </c>
      <c r="AE142" s="35"/>
      <c r="AF142" s="37">
        <f>AF118+15788</f>
        <v>180681</v>
      </c>
      <c r="AG142" s="29" t="s">
        <v>98</v>
      </c>
      <c r="AH142" s="218">
        <v>16665</v>
      </c>
      <c r="AI142" s="219" t="s">
        <v>225</v>
      </c>
      <c r="AJ142" s="220">
        <v>8000</v>
      </c>
      <c r="AK142" s="220" t="s">
        <v>201</v>
      </c>
      <c r="AL142" s="220">
        <v>3300</v>
      </c>
      <c r="AM142" s="221" t="s">
        <v>94</v>
      </c>
      <c r="AN142" s="40">
        <v>53200</v>
      </c>
      <c r="AO142" s="41" t="s">
        <v>331</v>
      </c>
      <c r="AP142" s="41" t="s">
        <v>332</v>
      </c>
      <c r="AQ142" s="27">
        <v>3000</v>
      </c>
      <c r="AR142" s="27" t="s">
        <v>94</v>
      </c>
      <c r="AS142" s="27">
        <v>900</v>
      </c>
      <c r="AT142" s="29">
        <v>41</v>
      </c>
      <c r="AU142" s="29" t="s">
        <v>100</v>
      </c>
      <c r="AV142" s="31">
        <v>42</v>
      </c>
      <c r="AW142" s="31" t="s">
        <v>100</v>
      </c>
      <c r="AX142" s="209"/>
      <c r="AY142" s="285"/>
      <c r="AZ142" s="285"/>
      <c r="BA142" s="286"/>
      <c r="BB142" s="286"/>
      <c r="BC142" s="44" t="s">
        <v>204</v>
      </c>
      <c r="BD142" s="33" t="s">
        <v>103</v>
      </c>
      <c r="BE142" s="271" t="s">
        <v>104</v>
      </c>
      <c r="BF142" s="271" t="s">
        <v>105</v>
      </c>
      <c r="BG142" s="269">
        <v>0</v>
      </c>
      <c r="BH142" s="42">
        <v>24000</v>
      </c>
      <c r="BI142" s="47" t="s">
        <v>100</v>
      </c>
      <c r="BJ142" s="32" t="s">
        <v>309</v>
      </c>
      <c r="BK142" s="32">
        <v>500</v>
      </c>
      <c r="BL142" s="26" t="s">
        <v>106</v>
      </c>
      <c r="BM142" s="26" t="s">
        <v>107</v>
      </c>
      <c r="BN142" s="209">
        <v>0</v>
      </c>
      <c r="BO142" s="26" t="s">
        <v>108</v>
      </c>
      <c r="BP142" s="34" t="s">
        <v>109</v>
      </c>
      <c r="BQ142" s="209">
        <v>4000</v>
      </c>
      <c r="BR142" s="26" t="s">
        <v>108</v>
      </c>
      <c r="BS142" s="34" t="s">
        <v>110</v>
      </c>
      <c r="BT142" s="209">
        <v>5500</v>
      </c>
      <c r="BU142" s="211">
        <v>11000</v>
      </c>
      <c r="BV142" s="212" t="s">
        <v>100</v>
      </c>
      <c r="BW142" s="212" t="s">
        <v>286</v>
      </c>
      <c r="BX142" s="213" t="s">
        <v>100</v>
      </c>
      <c r="BY142" s="213" t="s">
        <v>100</v>
      </c>
      <c r="BZ142" s="45">
        <v>2000</v>
      </c>
    </row>
    <row r="143" spans="3:78" ht="25.5" customHeight="1">
      <c r="C143" s="1"/>
      <c r="D143" s="296"/>
      <c r="E143" s="299"/>
      <c r="F143" s="308"/>
      <c r="G143" s="67">
        <v>750</v>
      </c>
      <c r="H143" s="68">
        <v>600</v>
      </c>
      <c r="I143" s="68">
        <v>6000</v>
      </c>
      <c r="J143" s="68">
        <v>6000</v>
      </c>
      <c r="K143" s="68">
        <v>50</v>
      </c>
      <c r="L143" s="68">
        <v>75</v>
      </c>
      <c r="M143" s="83" t="s">
        <v>226</v>
      </c>
      <c r="N143" s="69">
        <f>N119+16199</f>
        <v>196190</v>
      </c>
      <c r="O143" s="68" t="s">
        <v>89</v>
      </c>
      <c r="P143" s="68">
        <v>6</v>
      </c>
      <c r="Q143" s="70" t="s">
        <v>198</v>
      </c>
      <c r="R143" s="70" t="s">
        <v>91</v>
      </c>
      <c r="S143" s="70" t="s">
        <v>199</v>
      </c>
      <c r="T143" s="71" t="s">
        <v>92</v>
      </c>
      <c r="U143" s="71" t="s">
        <v>93</v>
      </c>
      <c r="V143" s="68" t="s">
        <v>94</v>
      </c>
      <c r="W143" s="68">
        <v>31</v>
      </c>
      <c r="X143" s="72" t="s">
        <v>95</v>
      </c>
      <c r="Y143" s="72" t="s">
        <v>96</v>
      </c>
      <c r="Z143" s="86">
        <v>12000</v>
      </c>
      <c r="AA143" s="83" t="s">
        <v>206</v>
      </c>
      <c r="AB143" s="86">
        <v>4250</v>
      </c>
      <c r="AC143" s="68" t="s">
        <v>97</v>
      </c>
      <c r="AD143" s="73" t="s">
        <v>97</v>
      </c>
      <c r="AE143" s="35"/>
      <c r="AF143" s="37">
        <f>AF119+16199</f>
        <v>185391</v>
      </c>
      <c r="AG143" s="29" t="s">
        <v>98</v>
      </c>
      <c r="AH143" s="222">
        <v>17099</v>
      </c>
      <c r="AI143" s="223" t="s">
        <v>226</v>
      </c>
      <c r="AJ143" s="224">
        <v>12000</v>
      </c>
      <c r="AK143" s="224" t="s">
        <v>202</v>
      </c>
      <c r="AL143" s="224">
        <v>4250</v>
      </c>
      <c r="AM143" s="225" t="s">
        <v>94</v>
      </c>
      <c r="AN143" s="40">
        <v>53200</v>
      </c>
      <c r="AO143" s="41" t="s">
        <v>331</v>
      </c>
      <c r="AP143" s="41" t="s">
        <v>332</v>
      </c>
      <c r="AQ143" s="27">
        <v>3000</v>
      </c>
      <c r="AR143" s="27" t="s">
        <v>94</v>
      </c>
      <c r="AS143" s="27">
        <v>900</v>
      </c>
      <c r="AT143" s="29">
        <v>41</v>
      </c>
      <c r="AU143" s="29" t="s">
        <v>100</v>
      </c>
      <c r="AV143" s="31">
        <v>42</v>
      </c>
      <c r="AW143" s="31" t="s">
        <v>100</v>
      </c>
      <c r="AX143" s="209"/>
      <c r="AY143" s="285"/>
      <c r="AZ143" s="285"/>
      <c r="BA143" s="286"/>
      <c r="BB143" s="286"/>
      <c r="BC143" s="44" t="s">
        <v>204</v>
      </c>
      <c r="BD143" s="33" t="s">
        <v>103</v>
      </c>
      <c r="BE143" s="271" t="s">
        <v>104</v>
      </c>
      <c r="BF143" s="271" t="s">
        <v>105</v>
      </c>
      <c r="BG143" s="269">
        <v>0</v>
      </c>
      <c r="BH143" s="42">
        <v>24000</v>
      </c>
      <c r="BI143" s="47" t="s">
        <v>100</v>
      </c>
      <c r="BJ143" s="32" t="s">
        <v>101</v>
      </c>
      <c r="BK143" s="32" t="s">
        <v>100</v>
      </c>
      <c r="BL143" s="26" t="s">
        <v>106</v>
      </c>
      <c r="BM143" s="26" t="s">
        <v>107</v>
      </c>
      <c r="BN143" s="209">
        <v>0</v>
      </c>
      <c r="BO143" s="26" t="s">
        <v>108</v>
      </c>
      <c r="BP143" s="34" t="s">
        <v>109</v>
      </c>
      <c r="BQ143" s="209">
        <v>4000</v>
      </c>
      <c r="BR143" s="26" t="s">
        <v>108</v>
      </c>
      <c r="BS143" s="34" t="s">
        <v>110</v>
      </c>
      <c r="BT143" s="209">
        <v>5500</v>
      </c>
      <c r="BU143" s="211">
        <v>11000</v>
      </c>
      <c r="BV143" s="212" t="s">
        <v>100</v>
      </c>
      <c r="BW143" s="212" t="s">
        <v>286</v>
      </c>
      <c r="BX143" s="213" t="s">
        <v>100</v>
      </c>
      <c r="BY143" s="213" t="s">
        <v>100</v>
      </c>
      <c r="BZ143" s="45">
        <v>2000</v>
      </c>
    </row>
    <row r="144" spans="3:78" ht="25.5" customHeight="1">
      <c r="C144" s="1"/>
      <c r="D144" s="296"/>
      <c r="E144" s="299"/>
      <c r="F144" s="308"/>
      <c r="G144" s="74">
        <v>840</v>
      </c>
      <c r="H144" s="62">
        <v>670</v>
      </c>
      <c r="I144" s="62">
        <v>6000</v>
      </c>
      <c r="J144" s="62">
        <v>6000</v>
      </c>
      <c r="K144" s="62">
        <v>50</v>
      </c>
      <c r="L144" s="62">
        <v>84</v>
      </c>
      <c r="M144" s="84" t="s">
        <v>226</v>
      </c>
      <c r="N144" s="63">
        <f>N120+16660</f>
        <v>201775</v>
      </c>
      <c r="O144" s="62" t="s">
        <v>89</v>
      </c>
      <c r="P144" s="62">
        <v>6</v>
      </c>
      <c r="Q144" s="64" t="s">
        <v>198</v>
      </c>
      <c r="R144" s="64" t="s">
        <v>91</v>
      </c>
      <c r="S144" s="64" t="s">
        <v>199</v>
      </c>
      <c r="T144" s="65" t="s">
        <v>92</v>
      </c>
      <c r="U144" s="65" t="s">
        <v>93</v>
      </c>
      <c r="V144" s="62" t="s">
        <v>94</v>
      </c>
      <c r="W144" s="62">
        <v>31</v>
      </c>
      <c r="X144" s="66" t="s">
        <v>95</v>
      </c>
      <c r="Y144" s="66" t="s">
        <v>96</v>
      </c>
      <c r="Z144" s="87">
        <v>12000</v>
      </c>
      <c r="AA144" s="84" t="s">
        <v>206</v>
      </c>
      <c r="AB144" s="87">
        <v>4250</v>
      </c>
      <c r="AC144" s="62" t="s">
        <v>97</v>
      </c>
      <c r="AD144" s="75" t="s">
        <v>97</v>
      </c>
      <c r="AE144" s="35"/>
      <c r="AF144" s="37">
        <f>AF120+16660</f>
        <v>190668</v>
      </c>
      <c r="AG144" s="29" t="s">
        <v>98</v>
      </c>
      <c r="AH144" s="226">
        <v>17586</v>
      </c>
      <c r="AI144" s="48" t="s">
        <v>226</v>
      </c>
      <c r="AJ144" s="39">
        <v>12000</v>
      </c>
      <c r="AK144" s="39" t="s">
        <v>202</v>
      </c>
      <c r="AL144" s="39">
        <v>4250</v>
      </c>
      <c r="AM144" s="30" t="s">
        <v>94</v>
      </c>
      <c r="AN144" s="40">
        <v>53200</v>
      </c>
      <c r="AO144" s="41" t="s">
        <v>331</v>
      </c>
      <c r="AP144" s="41" t="s">
        <v>332</v>
      </c>
      <c r="AQ144" s="27">
        <v>3000</v>
      </c>
      <c r="AR144" s="27" t="s">
        <v>94</v>
      </c>
      <c r="AS144" s="27">
        <v>900</v>
      </c>
      <c r="AT144" s="29">
        <v>41</v>
      </c>
      <c r="AU144" s="29" t="s">
        <v>100</v>
      </c>
      <c r="AV144" s="31">
        <v>42</v>
      </c>
      <c r="AW144" s="31" t="s">
        <v>100</v>
      </c>
      <c r="AX144" s="209"/>
      <c r="AY144" s="285"/>
      <c r="AZ144" s="285"/>
      <c r="BA144" s="286"/>
      <c r="BB144" s="286"/>
      <c r="BC144" s="44" t="s">
        <v>204</v>
      </c>
      <c r="BD144" s="33" t="s">
        <v>103</v>
      </c>
      <c r="BE144" s="271" t="s">
        <v>104</v>
      </c>
      <c r="BF144" s="271" t="s">
        <v>105</v>
      </c>
      <c r="BG144" s="269">
        <v>0</v>
      </c>
      <c r="BH144" s="42">
        <v>24000</v>
      </c>
      <c r="BI144" s="47" t="s">
        <v>100</v>
      </c>
      <c r="BJ144" s="32" t="s">
        <v>101</v>
      </c>
      <c r="BK144" s="32" t="s">
        <v>100</v>
      </c>
      <c r="BL144" s="26" t="s">
        <v>106</v>
      </c>
      <c r="BM144" s="26" t="s">
        <v>107</v>
      </c>
      <c r="BN144" s="209">
        <v>0</v>
      </c>
      <c r="BO144" s="26" t="s">
        <v>108</v>
      </c>
      <c r="BP144" s="34" t="s">
        <v>109</v>
      </c>
      <c r="BQ144" s="209">
        <v>4000</v>
      </c>
      <c r="BR144" s="26" t="s">
        <v>108</v>
      </c>
      <c r="BS144" s="34" t="s">
        <v>110</v>
      </c>
      <c r="BT144" s="209">
        <v>5500</v>
      </c>
      <c r="BU144" s="211">
        <v>11000</v>
      </c>
      <c r="BV144" s="212" t="s">
        <v>100</v>
      </c>
      <c r="BW144" s="212" t="s">
        <v>286</v>
      </c>
      <c r="BX144" s="213" t="s">
        <v>100</v>
      </c>
      <c r="BY144" s="213" t="s">
        <v>100</v>
      </c>
      <c r="BZ144" s="45">
        <v>2000</v>
      </c>
    </row>
    <row r="145" spans="2:78" ht="26.25" customHeight="1">
      <c r="C145" s="1"/>
      <c r="D145" s="296"/>
      <c r="E145" s="299"/>
      <c r="F145" s="308"/>
      <c r="G145" s="74">
        <v>890</v>
      </c>
      <c r="H145" s="62">
        <v>710</v>
      </c>
      <c r="I145" s="62">
        <v>6000</v>
      </c>
      <c r="J145" s="62">
        <v>6000</v>
      </c>
      <c r="K145" s="62">
        <v>50</v>
      </c>
      <c r="L145" s="62">
        <v>88</v>
      </c>
      <c r="M145" s="84" t="s">
        <v>226</v>
      </c>
      <c r="N145" s="63">
        <f>N121+16749</f>
        <v>202845</v>
      </c>
      <c r="O145" s="62" t="s">
        <v>89</v>
      </c>
      <c r="P145" s="62">
        <v>6</v>
      </c>
      <c r="Q145" s="64" t="s">
        <v>198</v>
      </c>
      <c r="R145" s="64" t="s">
        <v>91</v>
      </c>
      <c r="S145" s="64" t="s">
        <v>199</v>
      </c>
      <c r="T145" s="65" t="s">
        <v>92</v>
      </c>
      <c r="U145" s="65" t="s">
        <v>93</v>
      </c>
      <c r="V145" s="62" t="s">
        <v>94</v>
      </c>
      <c r="W145" s="62">
        <v>31</v>
      </c>
      <c r="X145" s="66" t="s">
        <v>95</v>
      </c>
      <c r="Y145" s="66" t="s">
        <v>96</v>
      </c>
      <c r="Z145" s="87">
        <v>12000</v>
      </c>
      <c r="AA145" s="84" t="s">
        <v>206</v>
      </c>
      <c r="AB145" s="87">
        <v>4250</v>
      </c>
      <c r="AC145" s="62" t="s">
        <v>97</v>
      </c>
      <c r="AD145" s="75" t="s">
        <v>97</v>
      </c>
      <c r="AE145" s="35"/>
      <c r="AF145" s="37">
        <f>AF121+16749</f>
        <v>191679</v>
      </c>
      <c r="AG145" s="29" t="s">
        <v>98</v>
      </c>
      <c r="AH145" s="226">
        <v>17679</v>
      </c>
      <c r="AI145" s="48" t="s">
        <v>226</v>
      </c>
      <c r="AJ145" s="39">
        <v>12000</v>
      </c>
      <c r="AK145" s="39" t="s">
        <v>202</v>
      </c>
      <c r="AL145" s="39">
        <v>4250</v>
      </c>
      <c r="AM145" s="30" t="s">
        <v>94</v>
      </c>
      <c r="AN145" s="40">
        <v>53200</v>
      </c>
      <c r="AO145" s="41" t="s">
        <v>331</v>
      </c>
      <c r="AP145" s="41" t="s">
        <v>332</v>
      </c>
      <c r="AQ145" s="27">
        <v>3000</v>
      </c>
      <c r="AR145" s="27" t="s">
        <v>94</v>
      </c>
      <c r="AS145" s="27">
        <v>900</v>
      </c>
      <c r="AT145" s="29">
        <v>41</v>
      </c>
      <c r="AU145" s="29" t="s">
        <v>100</v>
      </c>
      <c r="AV145" s="31">
        <v>42</v>
      </c>
      <c r="AW145" s="31" t="s">
        <v>100</v>
      </c>
      <c r="AX145" s="209"/>
      <c r="AY145" s="285"/>
      <c r="AZ145" s="285"/>
      <c r="BA145" s="286"/>
      <c r="BB145" s="286"/>
      <c r="BC145" s="44" t="s">
        <v>204</v>
      </c>
      <c r="BD145" s="33" t="s">
        <v>103</v>
      </c>
      <c r="BE145" s="271" t="s">
        <v>104</v>
      </c>
      <c r="BF145" s="271" t="s">
        <v>105</v>
      </c>
      <c r="BG145" s="269">
        <v>0</v>
      </c>
      <c r="BH145" s="42">
        <v>24000</v>
      </c>
      <c r="BI145" s="47" t="s">
        <v>100</v>
      </c>
      <c r="BJ145" s="32" t="s">
        <v>101</v>
      </c>
      <c r="BK145" s="32" t="s">
        <v>100</v>
      </c>
      <c r="BL145" s="26" t="s">
        <v>106</v>
      </c>
      <c r="BM145" s="26" t="s">
        <v>107</v>
      </c>
      <c r="BN145" s="209">
        <v>0</v>
      </c>
      <c r="BO145" s="26" t="s">
        <v>108</v>
      </c>
      <c r="BP145" s="34" t="s">
        <v>109</v>
      </c>
      <c r="BQ145" s="209">
        <v>4000</v>
      </c>
      <c r="BR145" s="26" t="s">
        <v>108</v>
      </c>
      <c r="BS145" s="34" t="s">
        <v>110</v>
      </c>
      <c r="BT145" s="209">
        <v>5500</v>
      </c>
      <c r="BU145" s="211">
        <v>11000</v>
      </c>
      <c r="BV145" s="212" t="s">
        <v>100</v>
      </c>
      <c r="BW145" s="212" t="s">
        <v>286</v>
      </c>
      <c r="BX145" s="213" t="s">
        <v>100</v>
      </c>
      <c r="BY145" s="213" t="s">
        <v>100</v>
      </c>
      <c r="BZ145" s="45">
        <v>2000</v>
      </c>
    </row>
    <row r="146" spans="2:78" ht="25.5" customHeight="1">
      <c r="C146" s="1"/>
      <c r="D146" s="296"/>
      <c r="E146" s="299"/>
      <c r="F146" s="308"/>
      <c r="G146" s="74">
        <v>940</v>
      </c>
      <c r="H146" s="62">
        <v>750</v>
      </c>
      <c r="I146" s="62">
        <v>6000</v>
      </c>
      <c r="J146" s="62">
        <v>6000</v>
      </c>
      <c r="K146" s="62">
        <v>50</v>
      </c>
      <c r="L146" s="62">
        <v>94</v>
      </c>
      <c r="M146" s="84" t="s">
        <v>226</v>
      </c>
      <c r="N146" s="63">
        <f>N122+17006</f>
        <v>205965</v>
      </c>
      <c r="O146" s="62" t="s">
        <v>89</v>
      </c>
      <c r="P146" s="62">
        <v>6</v>
      </c>
      <c r="Q146" s="64" t="s">
        <v>198</v>
      </c>
      <c r="R146" s="64" t="s">
        <v>91</v>
      </c>
      <c r="S146" s="64" t="s">
        <v>199</v>
      </c>
      <c r="T146" s="65" t="s">
        <v>92</v>
      </c>
      <c r="U146" s="65" t="s">
        <v>93</v>
      </c>
      <c r="V146" s="62" t="s">
        <v>94</v>
      </c>
      <c r="W146" s="62">
        <v>31</v>
      </c>
      <c r="X146" s="66" t="s">
        <v>95</v>
      </c>
      <c r="Y146" s="66" t="s">
        <v>96</v>
      </c>
      <c r="Z146" s="87">
        <v>12000</v>
      </c>
      <c r="AA146" s="84" t="s">
        <v>206</v>
      </c>
      <c r="AB146" s="87">
        <v>4250</v>
      </c>
      <c r="AC146" s="62" t="s">
        <v>97</v>
      </c>
      <c r="AD146" s="75" t="s">
        <v>97</v>
      </c>
      <c r="AE146" s="35"/>
      <c r="AF146" s="37">
        <f>AF122+17006</f>
        <v>194627</v>
      </c>
      <c r="AG146" s="29" t="s">
        <v>98</v>
      </c>
      <c r="AH146" s="226">
        <v>17951</v>
      </c>
      <c r="AI146" s="48" t="s">
        <v>226</v>
      </c>
      <c r="AJ146" s="39">
        <v>12000</v>
      </c>
      <c r="AK146" s="39" t="s">
        <v>202</v>
      </c>
      <c r="AL146" s="39">
        <v>4250</v>
      </c>
      <c r="AM146" s="30" t="s">
        <v>94</v>
      </c>
      <c r="AN146" s="40">
        <v>53200</v>
      </c>
      <c r="AO146" s="41" t="s">
        <v>331</v>
      </c>
      <c r="AP146" s="41" t="s">
        <v>332</v>
      </c>
      <c r="AQ146" s="27">
        <v>3000</v>
      </c>
      <c r="AR146" s="27" t="s">
        <v>94</v>
      </c>
      <c r="AS146" s="27">
        <v>900</v>
      </c>
      <c r="AT146" s="29">
        <v>41</v>
      </c>
      <c r="AU146" s="29" t="s">
        <v>100</v>
      </c>
      <c r="AV146" s="31">
        <v>42</v>
      </c>
      <c r="AW146" s="31" t="s">
        <v>100</v>
      </c>
      <c r="AX146" s="209"/>
      <c r="AY146" s="285"/>
      <c r="AZ146" s="285"/>
      <c r="BA146" s="286"/>
      <c r="BB146" s="286"/>
      <c r="BC146" s="44" t="s">
        <v>204</v>
      </c>
      <c r="BD146" s="33" t="s">
        <v>103</v>
      </c>
      <c r="BE146" s="271" t="s">
        <v>104</v>
      </c>
      <c r="BF146" s="271" t="s">
        <v>105</v>
      </c>
      <c r="BG146" s="269">
        <v>0</v>
      </c>
      <c r="BH146" s="42">
        <v>24000</v>
      </c>
      <c r="BI146" s="47" t="s">
        <v>100</v>
      </c>
      <c r="BJ146" s="32" t="s">
        <v>101</v>
      </c>
      <c r="BK146" s="32" t="s">
        <v>100</v>
      </c>
      <c r="BL146" s="26" t="s">
        <v>106</v>
      </c>
      <c r="BM146" s="26" t="s">
        <v>107</v>
      </c>
      <c r="BN146" s="209">
        <v>0</v>
      </c>
      <c r="BO146" s="26" t="s">
        <v>108</v>
      </c>
      <c r="BP146" s="34" t="s">
        <v>109</v>
      </c>
      <c r="BQ146" s="209">
        <v>4000</v>
      </c>
      <c r="BR146" s="26" t="s">
        <v>108</v>
      </c>
      <c r="BS146" s="34" t="s">
        <v>110</v>
      </c>
      <c r="BT146" s="209">
        <v>5500</v>
      </c>
      <c r="BU146" s="211">
        <v>11000</v>
      </c>
      <c r="BV146" s="212" t="s">
        <v>100</v>
      </c>
      <c r="BW146" s="212" t="s">
        <v>286</v>
      </c>
      <c r="BX146" s="213" t="s">
        <v>100</v>
      </c>
      <c r="BY146" s="213" t="s">
        <v>100</v>
      </c>
      <c r="BZ146" s="45">
        <v>2000</v>
      </c>
    </row>
    <row r="147" spans="2:78" ht="26.25" customHeight="1" thickBot="1">
      <c r="C147" s="1"/>
      <c r="D147" s="296"/>
      <c r="E147" s="299"/>
      <c r="F147" s="308"/>
      <c r="G147" s="175">
        <v>1000</v>
      </c>
      <c r="H147" s="77">
        <v>800</v>
      </c>
      <c r="I147" s="77">
        <v>6000</v>
      </c>
      <c r="J147" s="77">
        <v>6000</v>
      </c>
      <c r="K147" s="77">
        <v>50</v>
      </c>
      <c r="L147" s="77">
        <v>96</v>
      </c>
      <c r="M147" s="85" t="s">
        <v>226</v>
      </c>
      <c r="N147" s="78">
        <f>N123+17100</f>
        <v>207103</v>
      </c>
      <c r="O147" s="77" t="s">
        <v>89</v>
      </c>
      <c r="P147" s="77">
        <v>6</v>
      </c>
      <c r="Q147" s="79" t="s">
        <v>198</v>
      </c>
      <c r="R147" s="79" t="s">
        <v>91</v>
      </c>
      <c r="S147" s="79" t="s">
        <v>199</v>
      </c>
      <c r="T147" s="80" t="s">
        <v>92</v>
      </c>
      <c r="U147" s="80" t="s">
        <v>93</v>
      </c>
      <c r="V147" s="77" t="s">
        <v>94</v>
      </c>
      <c r="W147" s="77">
        <v>31</v>
      </c>
      <c r="X147" s="81" t="s">
        <v>95</v>
      </c>
      <c r="Y147" s="81" t="s">
        <v>96</v>
      </c>
      <c r="Z147" s="88">
        <v>12000</v>
      </c>
      <c r="AA147" s="85" t="s">
        <v>206</v>
      </c>
      <c r="AB147" s="88">
        <v>4250</v>
      </c>
      <c r="AC147" s="77" t="s">
        <v>97</v>
      </c>
      <c r="AD147" s="82" t="s">
        <v>97</v>
      </c>
      <c r="AE147" s="35"/>
      <c r="AF147" s="37">
        <f>AF123+17100</f>
        <v>195703</v>
      </c>
      <c r="AG147" s="29" t="s">
        <v>98</v>
      </c>
      <c r="AH147" s="218">
        <v>18050</v>
      </c>
      <c r="AI147" s="219" t="s">
        <v>226</v>
      </c>
      <c r="AJ147" s="220">
        <v>12000</v>
      </c>
      <c r="AK147" s="220" t="s">
        <v>202</v>
      </c>
      <c r="AL147" s="220">
        <v>4250</v>
      </c>
      <c r="AM147" s="221" t="s">
        <v>94</v>
      </c>
      <c r="AN147" s="40">
        <v>53200</v>
      </c>
      <c r="AO147" s="41" t="s">
        <v>331</v>
      </c>
      <c r="AP147" s="41" t="s">
        <v>332</v>
      </c>
      <c r="AQ147" s="27">
        <v>3000</v>
      </c>
      <c r="AR147" s="27" t="s">
        <v>94</v>
      </c>
      <c r="AS147" s="27">
        <v>900</v>
      </c>
      <c r="AT147" s="29">
        <v>41</v>
      </c>
      <c r="AU147" s="29" t="s">
        <v>100</v>
      </c>
      <c r="AV147" s="31">
        <v>42</v>
      </c>
      <c r="AW147" s="31" t="s">
        <v>100</v>
      </c>
      <c r="AX147" s="209"/>
      <c r="AY147" s="285"/>
      <c r="AZ147" s="285"/>
      <c r="BA147" s="286"/>
      <c r="BB147" s="286"/>
      <c r="BC147" s="44" t="s">
        <v>204</v>
      </c>
      <c r="BD147" s="33" t="s">
        <v>103</v>
      </c>
      <c r="BE147" s="271" t="s">
        <v>104</v>
      </c>
      <c r="BF147" s="271" t="s">
        <v>105</v>
      </c>
      <c r="BG147" s="269">
        <v>0</v>
      </c>
      <c r="BH147" s="42">
        <v>27000</v>
      </c>
      <c r="BI147" s="47" t="s">
        <v>100</v>
      </c>
      <c r="BJ147" s="32" t="s">
        <v>101</v>
      </c>
      <c r="BK147" s="32" t="s">
        <v>100</v>
      </c>
      <c r="BL147" s="26" t="s">
        <v>106</v>
      </c>
      <c r="BM147" s="26" t="s">
        <v>107</v>
      </c>
      <c r="BN147" s="209">
        <v>0</v>
      </c>
      <c r="BO147" s="26" t="s">
        <v>108</v>
      </c>
      <c r="BP147" s="34" t="s">
        <v>109</v>
      </c>
      <c r="BQ147" s="209">
        <v>4000</v>
      </c>
      <c r="BR147" s="26" t="s">
        <v>108</v>
      </c>
      <c r="BS147" s="34" t="s">
        <v>110</v>
      </c>
      <c r="BT147" s="209">
        <v>5500</v>
      </c>
      <c r="BU147" s="211">
        <v>11000</v>
      </c>
      <c r="BV147" s="212" t="s">
        <v>100</v>
      </c>
      <c r="BW147" s="212" t="s">
        <v>286</v>
      </c>
      <c r="BX147" s="213" t="s">
        <v>100</v>
      </c>
      <c r="BY147" s="213" t="s">
        <v>100</v>
      </c>
      <c r="BZ147" s="45">
        <v>2000</v>
      </c>
    </row>
    <row r="148" spans="2:78" ht="26.25" customHeight="1">
      <c r="C148" s="1"/>
      <c r="D148" s="296"/>
      <c r="E148" s="299"/>
      <c r="F148" s="308"/>
      <c r="G148" s="178">
        <v>1125</v>
      </c>
      <c r="H148" s="68">
        <v>900</v>
      </c>
      <c r="I148" s="68">
        <v>6000</v>
      </c>
      <c r="J148" s="68">
        <v>6000</v>
      </c>
      <c r="K148" s="68">
        <v>50</v>
      </c>
      <c r="L148" s="68">
        <v>110</v>
      </c>
      <c r="M148" s="103" t="s">
        <v>227</v>
      </c>
      <c r="N148" s="69">
        <f>N124+18994</f>
        <v>230038</v>
      </c>
      <c r="O148" s="68" t="s">
        <v>89</v>
      </c>
      <c r="P148" s="68">
        <v>6</v>
      </c>
      <c r="Q148" s="70" t="s">
        <v>198</v>
      </c>
      <c r="R148" s="70" t="s">
        <v>91</v>
      </c>
      <c r="S148" s="70" t="s">
        <v>199</v>
      </c>
      <c r="T148" s="71" t="s">
        <v>92</v>
      </c>
      <c r="U148" s="71" t="s">
        <v>93</v>
      </c>
      <c r="V148" s="68" t="s">
        <v>94</v>
      </c>
      <c r="W148" s="68">
        <v>31</v>
      </c>
      <c r="X148" s="72" t="s">
        <v>95</v>
      </c>
      <c r="Y148" s="72" t="s">
        <v>96</v>
      </c>
      <c r="Z148" s="104">
        <v>18000</v>
      </c>
      <c r="AA148" s="103" t="s">
        <v>207</v>
      </c>
      <c r="AB148" s="104">
        <v>4450</v>
      </c>
      <c r="AC148" s="68" t="s">
        <v>97</v>
      </c>
      <c r="AD148" s="73" t="s">
        <v>97</v>
      </c>
      <c r="AE148" s="35"/>
      <c r="AF148" s="37">
        <f>AF124+18994</f>
        <v>217375</v>
      </c>
      <c r="AG148" s="29" t="s">
        <v>98</v>
      </c>
      <c r="AH148" s="222">
        <v>20049</v>
      </c>
      <c r="AI148" s="223" t="s">
        <v>227</v>
      </c>
      <c r="AJ148" s="224">
        <v>18000</v>
      </c>
      <c r="AK148" s="224" t="s">
        <v>203</v>
      </c>
      <c r="AL148" s="224">
        <v>4450</v>
      </c>
      <c r="AM148" s="225" t="s">
        <v>94</v>
      </c>
      <c r="AN148" s="40">
        <v>53200</v>
      </c>
      <c r="AO148" s="41" t="s">
        <v>331</v>
      </c>
      <c r="AP148" s="41" t="s">
        <v>332</v>
      </c>
      <c r="AQ148" s="27">
        <v>3000</v>
      </c>
      <c r="AR148" s="27" t="s">
        <v>94</v>
      </c>
      <c r="AS148" s="27">
        <v>900</v>
      </c>
      <c r="AT148" s="29">
        <v>41</v>
      </c>
      <c r="AU148" s="29" t="s">
        <v>100</v>
      </c>
      <c r="AV148" s="31">
        <v>42</v>
      </c>
      <c r="AW148" s="31" t="s">
        <v>100</v>
      </c>
      <c r="AX148" s="209"/>
      <c r="AY148" s="285"/>
      <c r="AZ148" s="285"/>
      <c r="BA148" s="286"/>
      <c r="BB148" s="286"/>
      <c r="BC148" s="44" t="s">
        <v>204</v>
      </c>
      <c r="BD148" s="33" t="s">
        <v>103</v>
      </c>
      <c r="BE148" s="271" t="s">
        <v>104</v>
      </c>
      <c r="BF148" s="271" t="s">
        <v>105</v>
      </c>
      <c r="BG148" s="269">
        <v>0</v>
      </c>
      <c r="BH148" s="42">
        <v>27000</v>
      </c>
      <c r="BI148" s="47" t="s">
        <v>100</v>
      </c>
      <c r="BJ148" s="32" t="s">
        <v>101</v>
      </c>
      <c r="BK148" s="32" t="s">
        <v>100</v>
      </c>
      <c r="BL148" s="26" t="s">
        <v>106</v>
      </c>
      <c r="BM148" s="26" t="s">
        <v>107</v>
      </c>
      <c r="BN148" s="209">
        <v>0</v>
      </c>
      <c r="BO148" s="26" t="s">
        <v>108</v>
      </c>
      <c r="BP148" s="34" t="s">
        <v>109</v>
      </c>
      <c r="BQ148" s="209">
        <v>4000</v>
      </c>
      <c r="BR148" s="26" t="s">
        <v>108</v>
      </c>
      <c r="BS148" s="34" t="s">
        <v>110</v>
      </c>
      <c r="BT148" s="209">
        <v>5500</v>
      </c>
      <c r="BU148" s="211">
        <v>11000</v>
      </c>
      <c r="BV148" s="212" t="s">
        <v>100</v>
      </c>
      <c r="BW148" s="212" t="s">
        <v>286</v>
      </c>
      <c r="BX148" s="213" t="s">
        <v>100</v>
      </c>
      <c r="BY148" s="213" t="s">
        <v>100</v>
      </c>
      <c r="BZ148" s="45">
        <v>2000</v>
      </c>
    </row>
    <row r="149" spans="2:78" ht="26.25" customHeight="1">
      <c r="C149" s="1"/>
      <c r="D149" s="296"/>
      <c r="E149" s="299"/>
      <c r="F149" s="308"/>
      <c r="G149" s="174">
        <v>1250</v>
      </c>
      <c r="H149" s="62">
        <v>1000</v>
      </c>
      <c r="I149" s="62">
        <v>6000</v>
      </c>
      <c r="J149" s="62">
        <v>6000</v>
      </c>
      <c r="K149" s="62">
        <v>50</v>
      </c>
      <c r="L149" s="62">
        <v>120</v>
      </c>
      <c r="M149" s="101" t="s">
        <v>227</v>
      </c>
      <c r="N149" s="63">
        <f>N125+20638</f>
        <v>249951</v>
      </c>
      <c r="O149" s="62" t="s">
        <v>89</v>
      </c>
      <c r="P149" s="62">
        <v>6</v>
      </c>
      <c r="Q149" s="64" t="s">
        <v>198</v>
      </c>
      <c r="R149" s="64" t="s">
        <v>91</v>
      </c>
      <c r="S149" s="64" t="s">
        <v>199</v>
      </c>
      <c r="T149" s="65" t="s">
        <v>92</v>
      </c>
      <c r="U149" s="65" t="s">
        <v>93</v>
      </c>
      <c r="V149" s="62" t="s">
        <v>94</v>
      </c>
      <c r="W149" s="62">
        <v>31</v>
      </c>
      <c r="X149" s="66" t="s">
        <v>95</v>
      </c>
      <c r="Y149" s="66" t="s">
        <v>96</v>
      </c>
      <c r="Z149" s="102">
        <v>18000</v>
      </c>
      <c r="AA149" s="101" t="s">
        <v>207</v>
      </c>
      <c r="AB149" s="102">
        <v>4450</v>
      </c>
      <c r="AC149" s="62" t="s">
        <v>97</v>
      </c>
      <c r="AD149" s="75" t="s">
        <v>97</v>
      </c>
      <c r="AE149" s="35"/>
      <c r="AF149" s="37">
        <f>AF125+20638</f>
        <v>236192</v>
      </c>
      <c r="AG149" s="29" t="s">
        <v>98</v>
      </c>
      <c r="AH149" s="226">
        <v>21785</v>
      </c>
      <c r="AI149" s="48" t="s">
        <v>227</v>
      </c>
      <c r="AJ149" s="39">
        <v>18000</v>
      </c>
      <c r="AK149" s="39" t="s">
        <v>203</v>
      </c>
      <c r="AL149" s="39">
        <v>4450</v>
      </c>
      <c r="AM149" s="30" t="s">
        <v>94</v>
      </c>
      <c r="AN149" s="40">
        <v>65075</v>
      </c>
      <c r="AO149" s="41" t="s">
        <v>331</v>
      </c>
      <c r="AP149" s="41" t="s">
        <v>332</v>
      </c>
      <c r="AQ149" s="27">
        <v>3000</v>
      </c>
      <c r="AR149" s="27" t="s">
        <v>94</v>
      </c>
      <c r="AS149" s="27">
        <v>900</v>
      </c>
      <c r="AT149" s="29">
        <v>41</v>
      </c>
      <c r="AU149" s="29" t="s">
        <v>100</v>
      </c>
      <c r="AV149" s="31">
        <v>42</v>
      </c>
      <c r="AW149" s="31" t="s">
        <v>100</v>
      </c>
      <c r="AX149" s="209"/>
      <c r="AY149" s="285"/>
      <c r="AZ149" s="285"/>
      <c r="BA149" s="286"/>
      <c r="BB149" s="286"/>
      <c r="BC149" s="44" t="s">
        <v>204</v>
      </c>
      <c r="BD149" s="33" t="s">
        <v>103</v>
      </c>
      <c r="BE149" s="271" t="s">
        <v>104</v>
      </c>
      <c r="BF149" s="271" t="s">
        <v>105</v>
      </c>
      <c r="BG149" s="269">
        <v>0</v>
      </c>
      <c r="BH149" s="42">
        <v>27000</v>
      </c>
      <c r="BI149" s="47" t="s">
        <v>100</v>
      </c>
      <c r="BJ149" s="32" t="s">
        <v>101</v>
      </c>
      <c r="BK149" s="32" t="s">
        <v>100</v>
      </c>
      <c r="BL149" s="26" t="s">
        <v>106</v>
      </c>
      <c r="BM149" s="26" t="s">
        <v>107</v>
      </c>
      <c r="BN149" s="209">
        <v>0</v>
      </c>
      <c r="BO149" s="26" t="s">
        <v>108</v>
      </c>
      <c r="BP149" s="34" t="s">
        <v>109</v>
      </c>
      <c r="BQ149" s="209">
        <v>4000</v>
      </c>
      <c r="BR149" s="26" t="s">
        <v>108</v>
      </c>
      <c r="BS149" s="34" t="s">
        <v>110</v>
      </c>
      <c r="BT149" s="209">
        <v>5500</v>
      </c>
      <c r="BU149" s="211">
        <v>11000</v>
      </c>
      <c r="BV149" s="212" t="s">
        <v>100</v>
      </c>
      <c r="BW149" s="212" t="s">
        <v>286</v>
      </c>
      <c r="BX149" s="213" t="s">
        <v>100</v>
      </c>
      <c r="BY149" s="213" t="s">
        <v>100</v>
      </c>
      <c r="BZ149" s="45">
        <v>2000</v>
      </c>
    </row>
    <row r="150" spans="2:78" ht="26.25" customHeight="1" thickBot="1">
      <c r="C150" s="1"/>
      <c r="D150" s="296"/>
      <c r="E150" s="299"/>
      <c r="F150" s="308"/>
      <c r="G150" s="175">
        <v>1400</v>
      </c>
      <c r="H150" s="77">
        <v>1120</v>
      </c>
      <c r="I150" s="77">
        <v>6000</v>
      </c>
      <c r="J150" s="77">
        <v>6000</v>
      </c>
      <c r="K150" s="77">
        <v>50</v>
      </c>
      <c r="L150" s="77">
        <v>135</v>
      </c>
      <c r="M150" s="136" t="s">
        <v>227</v>
      </c>
      <c r="N150" s="78">
        <f>N126+21015</f>
        <v>254516</v>
      </c>
      <c r="O150" s="77" t="s">
        <v>89</v>
      </c>
      <c r="P150" s="77">
        <v>6</v>
      </c>
      <c r="Q150" s="79" t="s">
        <v>198</v>
      </c>
      <c r="R150" s="79" t="s">
        <v>91</v>
      </c>
      <c r="S150" s="79" t="s">
        <v>199</v>
      </c>
      <c r="T150" s="80" t="s">
        <v>92</v>
      </c>
      <c r="U150" s="80" t="s">
        <v>93</v>
      </c>
      <c r="V150" s="77" t="s">
        <v>94</v>
      </c>
      <c r="W150" s="77">
        <v>31</v>
      </c>
      <c r="X150" s="81" t="s">
        <v>95</v>
      </c>
      <c r="Y150" s="81" t="s">
        <v>96</v>
      </c>
      <c r="Z150" s="170">
        <v>18000</v>
      </c>
      <c r="AA150" s="136" t="s">
        <v>207</v>
      </c>
      <c r="AB150" s="170">
        <v>4450</v>
      </c>
      <c r="AC150" s="176" t="s">
        <v>97</v>
      </c>
      <c r="AD150" s="177" t="s">
        <v>97</v>
      </c>
      <c r="AE150" s="35"/>
      <c r="AF150" s="37">
        <f>AF126+21015</f>
        <v>240506</v>
      </c>
      <c r="AG150" s="29" t="s">
        <v>98</v>
      </c>
      <c r="AH150" s="218">
        <v>22183</v>
      </c>
      <c r="AI150" s="219" t="s">
        <v>227</v>
      </c>
      <c r="AJ150" s="220">
        <v>18000</v>
      </c>
      <c r="AK150" s="220" t="s">
        <v>203</v>
      </c>
      <c r="AL150" s="220">
        <v>4450</v>
      </c>
      <c r="AM150" s="221" t="s">
        <v>94</v>
      </c>
      <c r="AN150" s="40">
        <v>65075</v>
      </c>
      <c r="AO150" s="41" t="s">
        <v>331</v>
      </c>
      <c r="AP150" s="41" t="s">
        <v>332</v>
      </c>
      <c r="AQ150" s="27">
        <v>3000</v>
      </c>
      <c r="AR150" s="27" t="s">
        <v>94</v>
      </c>
      <c r="AS150" s="27">
        <v>900</v>
      </c>
      <c r="AT150" s="29">
        <v>41</v>
      </c>
      <c r="AU150" s="29" t="s">
        <v>100</v>
      </c>
      <c r="AV150" s="31">
        <v>42</v>
      </c>
      <c r="AW150" s="31" t="s">
        <v>100</v>
      </c>
      <c r="AX150" s="209"/>
      <c r="AY150" s="285"/>
      <c r="AZ150" s="285"/>
      <c r="BA150" s="286"/>
      <c r="BB150" s="286"/>
      <c r="BC150" s="44" t="s">
        <v>204</v>
      </c>
      <c r="BD150" s="33" t="s">
        <v>103</v>
      </c>
      <c r="BE150" s="271" t="s">
        <v>104</v>
      </c>
      <c r="BF150" s="271" t="s">
        <v>105</v>
      </c>
      <c r="BG150" s="269">
        <v>0</v>
      </c>
      <c r="BH150" s="42">
        <v>27000</v>
      </c>
      <c r="BI150" s="47" t="s">
        <v>100</v>
      </c>
      <c r="BJ150" s="32" t="s">
        <v>101</v>
      </c>
      <c r="BK150" s="32" t="s">
        <v>100</v>
      </c>
      <c r="BL150" s="26" t="s">
        <v>106</v>
      </c>
      <c r="BM150" s="26" t="s">
        <v>107</v>
      </c>
      <c r="BN150" s="209">
        <v>0</v>
      </c>
      <c r="BO150" s="26" t="s">
        <v>108</v>
      </c>
      <c r="BP150" s="34" t="s">
        <v>109</v>
      </c>
      <c r="BQ150" s="209">
        <v>4000</v>
      </c>
      <c r="BR150" s="26" t="s">
        <v>108</v>
      </c>
      <c r="BS150" s="34" t="s">
        <v>110</v>
      </c>
      <c r="BT150" s="209">
        <v>5500</v>
      </c>
      <c r="BU150" s="211">
        <v>11000</v>
      </c>
      <c r="BV150" s="212" t="s">
        <v>100</v>
      </c>
      <c r="BW150" s="212" t="s">
        <v>286</v>
      </c>
      <c r="BX150" s="213" t="s">
        <v>100</v>
      </c>
      <c r="BY150" s="213" t="s">
        <v>100</v>
      </c>
      <c r="BZ150" s="45">
        <v>2000</v>
      </c>
    </row>
    <row r="151" spans="2:78" ht="26.25" customHeight="1" thickBot="1">
      <c r="C151" s="1"/>
      <c r="D151" s="296"/>
      <c r="E151" s="299"/>
      <c r="F151" s="308"/>
      <c r="G151" s="178">
        <v>1565</v>
      </c>
      <c r="H151" s="68">
        <v>1250</v>
      </c>
      <c r="I151" s="68">
        <v>6000</v>
      </c>
      <c r="J151" s="68">
        <v>6000</v>
      </c>
      <c r="K151" s="68">
        <v>50</v>
      </c>
      <c r="L151" s="68">
        <v>150</v>
      </c>
      <c r="M151" s="83" t="s">
        <v>228</v>
      </c>
      <c r="N151" s="69">
        <f>N127+24002</f>
        <v>290690</v>
      </c>
      <c r="O151" s="68" t="s">
        <v>89</v>
      </c>
      <c r="P151" s="68">
        <v>6</v>
      </c>
      <c r="Q151" s="70" t="s">
        <v>198</v>
      </c>
      <c r="R151" s="70" t="s">
        <v>91</v>
      </c>
      <c r="S151" s="70" t="s">
        <v>199</v>
      </c>
      <c r="T151" s="71" t="s">
        <v>92</v>
      </c>
      <c r="U151" s="71" t="s">
        <v>93</v>
      </c>
      <c r="V151" s="68" t="s">
        <v>94</v>
      </c>
      <c r="W151" s="68">
        <v>31</v>
      </c>
      <c r="X151" s="72" t="s">
        <v>95</v>
      </c>
      <c r="Y151" s="72" t="s">
        <v>96</v>
      </c>
      <c r="Z151" s="86">
        <v>27000</v>
      </c>
      <c r="AA151" s="83" t="s">
        <v>207</v>
      </c>
      <c r="AB151" s="86">
        <v>4450</v>
      </c>
      <c r="AC151" s="179" t="s">
        <v>97</v>
      </c>
      <c r="AD151" s="180" t="s">
        <v>97</v>
      </c>
      <c r="AE151" s="35"/>
      <c r="AF151" s="37">
        <f>AF127+24002</f>
        <v>274689</v>
      </c>
      <c r="AG151" s="29" t="s">
        <v>98</v>
      </c>
      <c r="AH151" s="222">
        <v>25335</v>
      </c>
      <c r="AI151" s="223" t="s">
        <v>228</v>
      </c>
      <c r="AJ151" s="224">
        <v>27000</v>
      </c>
      <c r="AK151" s="224" t="s">
        <v>203</v>
      </c>
      <c r="AL151" s="224">
        <v>4450</v>
      </c>
      <c r="AM151" s="225" t="s">
        <v>94</v>
      </c>
      <c r="AN151" s="235">
        <v>65075</v>
      </c>
      <c r="AO151" s="236" t="s">
        <v>331</v>
      </c>
      <c r="AP151" s="236" t="s">
        <v>332</v>
      </c>
      <c r="AQ151" s="237">
        <v>3000</v>
      </c>
      <c r="AR151" s="237" t="s">
        <v>94</v>
      </c>
      <c r="AS151" s="237">
        <v>900</v>
      </c>
      <c r="AT151" s="29">
        <v>41</v>
      </c>
      <c r="AU151" s="29" t="s">
        <v>100</v>
      </c>
      <c r="AV151" s="31">
        <v>42</v>
      </c>
      <c r="AW151" s="31" t="s">
        <v>100</v>
      </c>
      <c r="AX151" s="209"/>
      <c r="AY151" s="285"/>
      <c r="AZ151" s="285"/>
      <c r="BA151" s="286"/>
      <c r="BB151" s="286"/>
      <c r="BC151" s="44" t="s">
        <v>204</v>
      </c>
      <c r="BD151" s="33" t="s">
        <v>103</v>
      </c>
      <c r="BE151" s="271" t="s">
        <v>104</v>
      </c>
      <c r="BF151" s="271" t="s">
        <v>105</v>
      </c>
      <c r="BG151" s="269">
        <v>0</v>
      </c>
      <c r="BH151" s="42">
        <v>27000</v>
      </c>
      <c r="BI151" s="47" t="s">
        <v>100</v>
      </c>
      <c r="BJ151" s="32" t="s">
        <v>101</v>
      </c>
      <c r="BK151" s="32" t="s">
        <v>100</v>
      </c>
      <c r="BL151" s="26" t="s">
        <v>106</v>
      </c>
      <c r="BM151" s="26" t="s">
        <v>107</v>
      </c>
      <c r="BN151" s="209">
        <v>0</v>
      </c>
      <c r="BO151" s="26" t="s">
        <v>108</v>
      </c>
      <c r="BP151" s="34" t="s">
        <v>109</v>
      </c>
      <c r="BQ151" s="209">
        <v>4000</v>
      </c>
      <c r="BR151" s="26" t="s">
        <v>108</v>
      </c>
      <c r="BS151" s="34" t="s">
        <v>110</v>
      </c>
      <c r="BT151" s="209">
        <v>5500</v>
      </c>
      <c r="BU151" s="211">
        <v>11000</v>
      </c>
      <c r="BV151" s="212" t="s">
        <v>100</v>
      </c>
      <c r="BW151" s="212" t="s">
        <v>286</v>
      </c>
      <c r="BX151" s="213" t="s">
        <v>100</v>
      </c>
      <c r="BY151" s="213" t="s">
        <v>100</v>
      </c>
      <c r="BZ151" s="45">
        <v>2000</v>
      </c>
    </row>
    <row r="152" spans="2:78" ht="136.5" customHeight="1" thickBot="1">
      <c r="C152" s="1"/>
      <c r="D152" s="297"/>
      <c r="E152" s="300"/>
      <c r="F152" s="309"/>
      <c r="G152" s="175">
        <v>1750</v>
      </c>
      <c r="H152" s="77">
        <v>1400</v>
      </c>
      <c r="I152" s="77">
        <v>6000</v>
      </c>
      <c r="J152" s="77">
        <v>6000</v>
      </c>
      <c r="K152" s="77">
        <v>50</v>
      </c>
      <c r="L152" s="77">
        <v>170</v>
      </c>
      <c r="M152" s="85" t="s">
        <v>228</v>
      </c>
      <c r="N152" s="78">
        <f>N128+25172</f>
        <v>304857</v>
      </c>
      <c r="O152" s="77" t="s">
        <v>89</v>
      </c>
      <c r="P152" s="77">
        <v>6</v>
      </c>
      <c r="Q152" s="79" t="s">
        <v>198</v>
      </c>
      <c r="R152" s="79" t="s">
        <v>91</v>
      </c>
      <c r="S152" s="79" t="s">
        <v>199</v>
      </c>
      <c r="T152" s="80" t="s">
        <v>92</v>
      </c>
      <c r="U152" s="80" t="s">
        <v>93</v>
      </c>
      <c r="V152" s="77" t="s">
        <v>94</v>
      </c>
      <c r="W152" s="77">
        <v>31</v>
      </c>
      <c r="X152" s="81" t="s">
        <v>95</v>
      </c>
      <c r="Y152" s="81" t="s">
        <v>96</v>
      </c>
      <c r="Z152" s="88">
        <v>27000</v>
      </c>
      <c r="AA152" s="85" t="s">
        <v>207</v>
      </c>
      <c r="AB152" s="88">
        <v>4450</v>
      </c>
      <c r="AC152" s="176" t="s">
        <v>97</v>
      </c>
      <c r="AD152" s="177" t="s">
        <v>97</v>
      </c>
      <c r="AE152" s="35"/>
      <c r="AF152" s="37">
        <f>AF128+25172</f>
        <v>288076</v>
      </c>
      <c r="AG152" s="29" t="s">
        <v>98</v>
      </c>
      <c r="AH152" s="218">
        <v>26570</v>
      </c>
      <c r="AI152" s="219" t="s">
        <v>228</v>
      </c>
      <c r="AJ152" s="220">
        <v>27000</v>
      </c>
      <c r="AK152" s="220" t="s">
        <v>203</v>
      </c>
      <c r="AL152" s="220">
        <v>4450</v>
      </c>
      <c r="AM152" s="221" t="s">
        <v>94</v>
      </c>
      <c r="AN152" s="248">
        <v>65075</v>
      </c>
      <c r="AO152" s="249" t="s">
        <v>304</v>
      </c>
      <c r="AP152" s="249" t="s">
        <v>307</v>
      </c>
      <c r="AQ152" s="249">
        <v>3000</v>
      </c>
      <c r="AR152" s="249" t="s">
        <v>94</v>
      </c>
      <c r="AS152" s="249">
        <v>1500</v>
      </c>
      <c r="AT152" s="29">
        <v>41</v>
      </c>
      <c r="AU152" s="29" t="s">
        <v>100</v>
      </c>
      <c r="AV152" s="31">
        <v>42</v>
      </c>
      <c r="AW152" s="31" t="s">
        <v>100</v>
      </c>
      <c r="AX152" s="209"/>
      <c r="AY152" s="285"/>
      <c r="AZ152" s="285"/>
      <c r="BA152" s="286"/>
      <c r="BB152" s="286"/>
      <c r="BC152" s="44" t="s">
        <v>204</v>
      </c>
      <c r="BD152" s="33" t="s">
        <v>103</v>
      </c>
      <c r="BE152" s="271" t="s">
        <v>104</v>
      </c>
      <c r="BF152" s="271" t="s">
        <v>105</v>
      </c>
      <c r="BG152" s="269">
        <v>0</v>
      </c>
      <c r="BH152" s="42">
        <v>27000</v>
      </c>
      <c r="BI152" s="47" t="s">
        <v>100</v>
      </c>
      <c r="BJ152" s="32" t="s">
        <v>101</v>
      </c>
      <c r="BK152" s="32" t="s">
        <v>100</v>
      </c>
      <c r="BL152" s="26" t="s">
        <v>106</v>
      </c>
      <c r="BM152" s="26" t="s">
        <v>107</v>
      </c>
      <c r="BN152" s="209">
        <v>0</v>
      </c>
      <c r="BO152" s="26" t="s">
        <v>108</v>
      </c>
      <c r="BP152" s="34" t="s">
        <v>109</v>
      </c>
      <c r="BQ152" s="209">
        <v>4000</v>
      </c>
      <c r="BR152" s="26" t="s">
        <v>108</v>
      </c>
      <c r="BS152" s="34" t="s">
        <v>110</v>
      </c>
      <c r="BT152" s="209">
        <v>5500</v>
      </c>
      <c r="BU152" s="211">
        <v>11000</v>
      </c>
      <c r="BV152" s="212" t="s">
        <v>100</v>
      </c>
      <c r="BW152" s="212" t="s">
        <v>286</v>
      </c>
      <c r="BX152" s="213" t="s">
        <v>100</v>
      </c>
      <c r="BY152" s="213" t="s">
        <v>100</v>
      </c>
      <c r="BZ152" s="45">
        <v>2000</v>
      </c>
    </row>
    <row r="153" spans="2:78" ht="26.25" customHeight="1" thickBot="1">
      <c r="C153" s="1"/>
      <c r="D153" s="36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36"/>
      <c r="AJ153" s="36"/>
      <c r="AK153" s="1"/>
      <c r="AL153" s="36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287"/>
      <c r="AY153" s="287"/>
      <c r="AZ153" s="287"/>
      <c r="BA153" s="287"/>
      <c r="BB153" s="287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Z153" s="36"/>
    </row>
    <row r="154" spans="2:78" ht="26.25" customHeight="1">
      <c r="B154" s="281"/>
      <c r="C154" s="1"/>
      <c r="D154" s="295">
        <v>7</v>
      </c>
      <c r="E154" s="304" t="s">
        <v>347</v>
      </c>
      <c r="F154" s="301" t="s">
        <v>346</v>
      </c>
      <c r="G154" s="67">
        <v>250</v>
      </c>
      <c r="H154" s="68">
        <v>200</v>
      </c>
      <c r="I154" s="68">
        <v>10000</v>
      </c>
      <c r="J154" s="68">
        <v>10000</v>
      </c>
      <c r="K154" s="68">
        <v>50</v>
      </c>
      <c r="L154" s="68">
        <v>15</v>
      </c>
      <c r="M154" s="83" t="s">
        <v>224</v>
      </c>
      <c r="N154" s="69">
        <v>186402</v>
      </c>
      <c r="O154" s="68" t="s">
        <v>89</v>
      </c>
      <c r="P154" s="68">
        <v>8</v>
      </c>
      <c r="Q154" s="70" t="s">
        <v>198</v>
      </c>
      <c r="R154" s="70" t="s">
        <v>91</v>
      </c>
      <c r="S154" s="70" t="s">
        <v>199</v>
      </c>
      <c r="T154" s="71" t="s">
        <v>92</v>
      </c>
      <c r="U154" s="71" t="s">
        <v>93</v>
      </c>
      <c r="V154" s="68" t="s">
        <v>94</v>
      </c>
      <c r="W154" s="68">
        <v>31</v>
      </c>
      <c r="X154" s="72" t="s">
        <v>95</v>
      </c>
      <c r="Y154" s="72" t="s">
        <v>96</v>
      </c>
      <c r="Z154" s="86">
        <v>6000</v>
      </c>
      <c r="AA154" s="83" t="s">
        <v>205</v>
      </c>
      <c r="AB154" s="86">
        <v>3900</v>
      </c>
      <c r="AC154" s="68" t="s">
        <v>97</v>
      </c>
      <c r="AD154" s="73" t="s">
        <v>97</v>
      </c>
      <c r="AE154" s="28"/>
      <c r="AF154" s="37">
        <v>175218</v>
      </c>
      <c r="AG154" s="29" t="s">
        <v>98</v>
      </c>
      <c r="AH154" s="226">
        <v>17708</v>
      </c>
      <c r="AI154" s="48" t="s">
        <v>224</v>
      </c>
      <c r="AJ154" s="39">
        <v>6000</v>
      </c>
      <c r="AK154" s="39" t="s">
        <v>205</v>
      </c>
      <c r="AL154" s="39">
        <v>3900</v>
      </c>
      <c r="AM154" s="30" t="s">
        <v>94</v>
      </c>
      <c r="AN154" s="40">
        <v>55100</v>
      </c>
      <c r="AO154" s="41" t="s">
        <v>331</v>
      </c>
      <c r="AP154" s="41" t="s">
        <v>332</v>
      </c>
      <c r="AQ154" s="27">
        <v>3000</v>
      </c>
      <c r="AR154" s="27" t="s">
        <v>94</v>
      </c>
      <c r="AS154" s="27">
        <v>900</v>
      </c>
      <c r="AT154" s="29">
        <v>41</v>
      </c>
      <c r="AU154" s="29" t="s">
        <v>100</v>
      </c>
      <c r="AV154" s="31">
        <v>42</v>
      </c>
      <c r="AW154" s="31" t="s">
        <v>100</v>
      </c>
      <c r="AX154" s="209"/>
      <c r="AY154" s="285"/>
      <c r="AZ154" s="285"/>
      <c r="BA154" s="286"/>
      <c r="BB154" s="286"/>
      <c r="BC154" s="44" t="s">
        <v>204</v>
      </c>
      <c r="BD154" s="33" t="s">
        <v>103</v>
      </c>
      <c r="BE154" s="271" t="s">
        <v>104</v>
      </c>
      <c r="BF154" s="271" t="s">
        <v>105</v>
      </c>
      <c r="BG154" s="269">
        <v>0</v>
      </c>
      <c r="BH154" s="42">
        <v>24000</v>
      </c>
      <c r="BI154" s="47" t="s">
        <v>100</v>
      </c>
      <c r="BJ154" s="32" t="s">
        <v>309</v>
      </c>
      <c r="BK154" s="32">
        <v>500</v>
      </c>
      <c r="BL154" s="26" t="s">
        <v>106</v>
      </c>
      <c r="BM154" s="26" t="s">
        <v>107</v>
      </c>
      <c r="BN154" s="209">
        <v>0</v>
      </c>
      <c r="BO154" s="26" t="s">
        <v>108</v>
      </c>
      <c r="BP154" s="34" t="s">
        <v>109</v>
      </c>
      <c r="BQ154" s="209">
        <v>4000</v>
      </c>
      <c r="BR154" s="26" t="s">
        <v>108</v>
      </c>
      <c r="BS154" s="34" t="s">
        <v>110</v>
      </c>
      <c r="BT154" s="209">
        <v>5500</v>
      </c>
      <c r="BU154" s="211">
        <v>11000</v>
      </c>
      <c r="BV154" s="212" t="s">
        <v>100</v>
      </c>
      <c r="BW154" s="212" t="s">
        <v>286</v>
      </c>
      <c r="BX154" s="213" t="s">
        <v>100</v>
      </c>
      <c r="BY154" s="213" t="s">
        <v>100</v>
      </c>
      <c r="BZ154" s="45">
        <v>2000</v>
      </c>
    </row>
    <row r="155" spans="2:78" ht="26.25" customHeight="1">
      <c r="B155" s="280"/>
      <c r="C155" s="1"/>
      <c r="D155" s="296"/>
      <c r="E155" s="310"/>
      <c r="F155" s="302"/>
      <c r="G155" s="74">
        <v>315</v>
      </c>
      <c r="H155" s="62">
        <v>250</v>
      </c>
      <c r="I155" s="62">
        <v>10000</v>
      </c>
      <c r="J155" s="62">
        <v>10000</v>
      </c>
      <c r="K155" s="62">
        <v>50</v>
      </c>
      <c r="L155" s="62">
        <v>19</v>
      </c>
      <c r="M155" s="84" t="s">
        <v>224</v>
      </c>
      <c r="N155" s="63">
        <v>187889</v>
      </c>
      <c r="O155" s="62" t="s">
        <v>89</v>
      </c>
      <c r="P155" s="62">
        <v>8</v>
      </c>
      <c r="Q155" s="64" t="s">
        <v>198</v>
      </c>
      <c r="R155" s="64" t="s">
        <v>91</v>
      </c>
      <c r="S155" s="64" t="s">
        <v>199</v>
      </c>
      <c r="T155" s="65" t="s">
        <v>92</v>
      </c>
      <c r="U155" s="65" t="s">
        <v>93</v>
      </c>
      <c r="V155" s="62" t="s">
        <v>94</v>
      </c>
      <c r="W155" s="62">
        <v>31</v>
      </c>
      <c r="X155" s="66" t="s">
        <v>95</v>
      </c>
      <c r="Y155" s="66" t="s">
        <v>96</v>
      </c>
      <c r="Z155" s="87">
        <v>6000</v>
      </c>
      <c r="AA155" s="84" t="s">
        <v>205</v>
      </c>
      <c r="AB155" s="87">
        <v>3900</v>
      </c>
      <c r="AC155" s="62" t="s">
        <v>97</v>
      </c>
      <c r="AD155" s="75" t="s">
        <v>97</v>
      </c>
      <c r="AE155" s="35"/>
      <c r="AF155" s="37">
        <v>176616</v>
      </c>
      <c r="AG155" s="29" t="s">
        <v>98</v>
      </c>
      <c r="AH155" s="226">
        <v>17849</v>
      </c>
      <c r="AI155" s="48" t="s">
        <v>224</v>
      </c>
      <c r="AJ155" s="39">
        <v>6000</v>
      </c>
      <c r="AK155" s="39" t="s">
        <v>205</v>
      </c>
      <c r="AL155" s="39">
        <v>3900</v>
      </c>
      <c r="AM155" s="30" t="s">
        <v>94</v>
      </c>
      <c r="AN155" s="40">
        <v>55100</v>
      </c>
      <c r="AO155" s="41" t="s">
        <v>331</v>
      </c>
      <c r="AP155" s="41" t="s">
        <v>332</v>
      </c>
      <c r="AQ155" s="27">
        <v>3000</v>
      </c>
      <c r="AR155" s="27" t="s">
        <v>94</v>
      </c>
      <c r="AS155" s="27">
        <v>900</v>
      </c>
      <c r="AT155" s="29">
        <v>41</v>
      </c>
      <c r="AU155" s="29" t="s">
        <v>100</v>
      </c>
      <c r="AV155" s="31">
        <v>42</v>
      </c>
      <c r="AW155" s="31" t="s">
        <v>100</v>
      </c>
      <c r="AX155" s="209"/>
      <c r="AY155" s="285"/>
      <c r="AZ155" s="285"/>
      <c r="BA155" s="286"/>
      <c r="BB155" s="286"/>
      <c r="BC155" s="44" t="s">
        <v>204</v>
      </c>
      <c r="BD155" s="33" t="s">
        <v>103</v>
      </c>
      <c r="BE155" s="271" t="s">
        <v>104</v>
      </c>
      <c r="BF155" s="271" t="s">
        <v>105</v>
      </c>
      <c r="BG155" s="269">
        <v>0</v>
      </c>
      <c r="BH155" s="42">
        <v>24000</v>
      </c>
      <c r="BI155" s="47" t="s">
        <v>100</v>
      </c>
      <c r="BJ155" s="32" t="s">
        <v>309</v>
      </c>
      <c r="BK155" s="32">
        <v>500</v>
      </c>
      <c r="BL155" s="26" t="s">
        <v>106</v>
      </c>
      <c r="BM155" s="26" t="s">
        <v>107</v>
      </c>
      <c r="BN155" s="209">
        <v>0</v>
      </c>
      <c r="BO155" s="26" t="s">
        <v>108</v>
      </c>
      <c r="BP155" s="34" t="s">
        <v>109</v>
      </c>
      <c r="BQ155" s="209">
        <v>4000</v>
      </c>
      <c r="BR155" s="26" t="s">
        <v>108</v>
      </c>
      <c r="BS155" s="34" t="s">
        <v>110</v>
      </c>
      <c r="BT155" s="209">
        <v>5500</v>
      </c>
      <c r="BU155" s="211">
        <v>11000</v>
      </c>
      <c r="BV155" s="212" t="s">
        <v>100</v>
      </c>
      <c r="BW155" s="212" t="s">
        <v>286</v>
      </c>
      <c r="BX155" s="213" t="s">
        <v>100</v>
      </c>
      <c r="BY155" s="213" t="s">
        <v>100</v>
      </c>
      <c r="BZ155" s="45">
        <v>2000</v>
      </c>
    </row>
    <row r="156" spans="2:78" ht="25.5">
      <c r="B156" s="280"/>
      <c r="C156" s="1"/>
      <c r="D156" s="296"/>
      <c r="E156" s="310"/>
      <c r="F156" s="302"/>
      <c r="G156" s="74">
        <v>350</v>
      </c>
      <c r="H156" s="62">
        <v>280</v>
      </c>
      <c r="I156" s="62">
        <v>10000</v>
      </c>
      <c r="J156" s="62">
        <v>10000</v>
      </c>
      <c r="K156" s="62">
        <v>50</v>
      </c>
      <c r="L156" s="62">
        <v>21</v>
      </c>
      <c r="M156" s="84" t="s">
        <v>224</v>
      </c>
      <c r="N156" s="63">
        <v>188690</v>
      </c>
      <c r="O156" s="62" t="s">
        <v>89</v>
      </c>
      <c r="P156" s="62">
        <v>8</v>
      </c>
      <c r="Q156" s="64" t="s">
        <v>198</v>
      </c>
      <c r="R156" s="64" t="s">
        <v>91</v>
      </c>
      <c r="S156" s="64" t="s">
        <v>199</v>
      </c>
      <c r="T156" s="65" t="s">
        <v>92</v>
      </c>
      <c r="U156" s="65" t="s">
        <v>93</v>
      </c>
      <c r="V156" s="62" t="s">
        <v>94</v>
      </c>
      <c r="W156" s="62">
        <v>31</v>
      </c>
      <c r="X156" s="66" t="s">
        <v>95</v>
      </c>
      <c r="Y156" s="66" t="s">
        <v>96</v>
      </c>
      <c r="Z156" s="87">
        <v>6000</v>
      </c>
      <c r="AA156" s="84" t="s">
        <v>205</v>
      </c>
      <c r="AB156" s="87">
        <v>3900</v>
      </c>
      <c r="AC156" s="62" t="s">
        <v>97</v>
      </c>
      <c r="AD156" s="75" t="s">
        <v>97</v>
      </c>
      <c r="AE156" s="35"/>
      <c r="AF156" s="37">
        <v>177369</v>
      </c>
      <c r="AG156" s="29" t="s">
        <v>98</v>
      </c>
      <c r="AH156" s="226">
        <v>17926</v>
      </c>
      <c r="AI156" s="48" t="s">
        <v>224</v>
      </c>
      <c r="AJ156" s="39">
        <v>6000</v>
      </c>
      <c r="AK156" s="39" t="s">
        <v>205</v>
      </c>
      <c r="AL156" s="39">
        <v>3900</v>
      </c>
      <c r="AM156" s="30" t="s">
        <v>94</v>
      </c>
      <c r="AN156" s="40">
        <v>55100</v>
      </c>
      <c r="AO156" s="41" t="s">
        <v>331</v>
      </c>
      <c r="AP156" s="41" t="s">
        <v>332</v>
      </c>
      <c r="AQ156" s="27">
        <v>3000</v>
      </c>
      <c r="AR156" s="27" t="s">
        <v>94</v>
      </c>
      <c r="AS156" s="27">
        <v>900</v>
      </c>
      <c r="AT156" s="29">
        <v>41</v>
      </c>
      <c r="AU156" s="29" t="s">
        <v>100</v>
      </c>
      <c r="AV156" s="31">
        <v>42</v>
      </c>
      <c r="AW156" s="31" t="s">
        <v>100</v>
      </c>
      <c r="AX156" s="209"/>
      <c r="AY156" s="285"/>
      <c r="AZ156" s="285"/>
      <c r="BA156" s="286"/>
      <c r="BB156" s="286"/>
      <c r="BC156" s="44" t="s">
        <v>204</v>
      </c>
      <c r="BD156" s="33" t="s">
        <v>103</v>
      </c>
      <c r="BE156" s="271" t="s">
        <v>104</v>
      </c>
      <c r="BF156" s="271" t="s">
        <v>105</v>
      </c>
      <c r="BG156" s="269">
        <v>0</v>
      </c>
      <c r="BH156" s="42">
        <v>24000</v>
      </c>
      <c r="BI156" s="47" t="s">
        <v>100</v>
      </c>
      <c r="BJ156" s="32" t="s">
        <v>309</v>
      </c>
      <c r="BK156" s="32">
        <v>500</v>
      </c>
      <c r="BL156" s="26" t="s">
        <v>106</v>
      </c>
      <c r="BM156" s="26" t="s">
        <v>107</v>
      </c>
      <c r="BN156" s="209">
        <v>0</v>
      </c>
      <c r="BO156" s="26" t="s">
        <v>108</v>
      </c>
      <c r="BP156" s="34" t="s">
        <v>109</v>
      </c>
      <c r="BQ156" s="209">
        <v>4000</v>
      </c>
      <c r="BR156" s="26" t="s">
        <v>108</v>
      </c>
      <c r="BS156" s="34" t="s">
        <v>110</v>
      </c>
      <c r="BT156" s="209">
        <v>5500</v>
      </c>
      <c r="BU156" s="211">
        <v>11000</v>
      </c>
      <c r="BV156" s="212" t="s">
        <v>100</v>
      </c>
      <c r="BW156" s="212" t="s">
        <v>286</v>
      </c>
      <c r="BX156" s="213" t="s">
        <v>100</v>
      </c>
      <c r="BY156" s="213" t="s">
        <v>100</v>
      </c>
      <c r="BZ156" s="45">
        <v>2000</v>
      </c>
    </row>
    <row r="157" spans="2:78" ht="25.5">
      <c r="B157" s="280"/>
      <c r="C157" s="1"/>
      <c r="D157" s="296"/>
      <c r="E157" s="310"/>
      <c r="F157" s="302"/>
      <c r="G157" s="74">
        <v>375</v>
      </c>
      <c r="H157" s="62">
        <v>300</v>
      </c>
      <c r="I157" s="62">
        <v>10000</v>
      </c>
      <c r="J157" s="62">
        <v>10000</v>
      </c>
      <c r="K157" s="62">
        <v>50</v>
      </c>
      <c r="L157" s="62">
        <v>23</v>
      </c>
      <c r="M157" s="84" t="s">
        <v>224</v>
      </c>
      <c r="N157" s="63">
        <v>189260</v>
      </c>
      <c r="O157" s="62" t="s">
        <v>89</v>
      </c>
      <c r="P157" s="62">
        <v>8</v>
      </c>
      <c r="Q157" s="64" t="s">
        <v>198</v>
      </c>
      <c r="R157" s="64" t="s">
        <v>91</v>
      </c>
      <c r="S157" s="64" t="s">
        <v>199</v>
      </c>
      <c r="T157" s="65" t="s">
        <v>92</v>
      </c>
      <c r="U157" s="65" t="s">
        <v>93</v>
      </c>
      <c r="V157" s="62" t="s">
        <v>94</v>
      </c>
      <c r="W157" s="62">
        <v>31</v>
      </c>
      <c r="X157" s="66" t="s">
        <v>95</v>
      </c>
      <c r="Y157" s="66" t="s">
        <v>96</v>
      </c>
      <c r="Z157" s="87">
        <v>6000</v>
      </c>
      <c r="AA157" s="84" t="s">
        <v>205</v>
      </c>
      <c r="AB157" s="87">
        <v>3900</v>
      </c>
      <c r="AC157" s="62" t="s">
        <v>97</v>
      </c>
      <c r="AD157" s="75" t="s">
        <v>97</v>
      </c>
      <c r="AE157" s="35"/>
      <c r="AF157" s="37">
        <v>177904</v>
      </c>
      <c r="AG157" s="29" t="s">
        <v>98</v>
      </c>
      <c r="AH157" s="226">
        <v>17980</v>
      </c>
      <c r="AI157" s="48" t="s">
        <v>224</v>
      </c>
      <c r="AJ157" s="39">
        <v>6000</v>
      </c>
      <c r="AK157" s="39" t="s">
        <v>205</v>
      </c>
      <c r="AL157" s="39">
        <v>3900</v>
      </c>
      <c r="AM157" s="30" t="s">
        <v>94</v>
      </c>
      <c r="AN157" s="40">
        <v>55100</v>
      </c>
      <c r="AO157" s="41" t="s">
        <v>331</v>
      </c>
      <c r="AP157" s="41" t="s">
        <v>332</v>
      </c>
      <c r="AQ157" s="27">
        <v>3000</v>
      </c>
      <c r="AR157" s="27" t="s">
        <v>94</v>
      </c>
      <c r="AS157" s="27">
        <v>900</v>
      </c>
      <c r="AT157" s="29">
        <v>41</v>
      </c>
      <c r="AU157" s="29" t="s">
        <v>100</v>
      </c>
      <c r="AV157" s="31">
        <v>42</v>
      </c>
      <c r="AW157" s="31" t="s">
        <v>100</v>
      </c>
      <c r="AX157" s="209"/>
      <c r="AY157" s="285"/>
      <c r="AZ157" s="285"/>
      <c r="BA157" s="286"/>
      <c r="BB157" s="286"/>
      <c r="BC157" s="44" t="s">
        <v>204</v>
      </c>
      <c r="BD157" s="33" t="s">
        <v>103</v>
      </c>
      <c r="BE157" s="271" t="s">
        <v>104</v>
      </c>
      <c r="BF157" s="271" t="s">
        <v>105</v>
      </c>
      <c r="BG157" s="269">
        <v>0</v>
      </c>
      <c r="BH157" s="42">
        <v>24000</v>
      </c>
      <c r="BI157" s="47" t="s">
        <v>100</v>
      </c>
      <c r="BJ157" s="32" t="s">
        <v>309</v>
      </c>
      <c r="BK157" s="32">
        <v>500</v>
      </c>
      <c r="BL157" s="26" t="s">
        <v>106</v>
      </c>
      <c r="BM157" s="26" t="s">
        <v>107</v>
      </c>
      <c r="BN157" s="209">
        <v>0</v>
      </c>
      <c r="BO157" s="26" t="s">
        <v>108</v>
      </c>
      <c r="BP157" s="34" t="s">
        <v>109</v>
      </c>
      <c r="BQ157" s="209">
        <v>4000</v>
      </c>
      <c r="BR157" s="26" t="s">
        <v>108</v>
      </c>
      <c r="BS157" s="34" t="s">
        <v>110</v>
      </c>
      <c r="BT157" s="209">
        <v>5500</v>
      </c>
      <c r="BU157" s="211">
        <v>11000</v>
      </c>
      <c r="BV157" s="212" t="s">
        <v>100</v>
      </c>
      <c r="BW157" s="212" t="s">
        <v>286</v>
      </c>
      <c r="BX157" s="213" t="s">
        <v>100</v>
      </c>
      <c r="BY157" s="213" t="s">
        <v>100</v>
      </c>
      <c r="BZ157" s="45">
        <v>2000</v>
      </c>
    </row>
    <row r="158" spans="2:78" ht="25.5">
      <c r="B158" s="280"/>
      <c r="C158" s="1"/>
      <c r="D158" s="296"/>
      <c r="E158" s="310"/>
      <c r="F158" s="302"/>
      <c r="G158" s="74">
        <v>420</v>
      </c>
      <c r="H158" s="62">
        <v>335</v>
      </c>
      <c r="I158" s="62">
        <v>10000</v>
      </c>
      <c r="J158" s="62">
        <v>10000</v>
      </c>
      <c r="K158" s="62">
        <v>50</v>
      </c>
      <c r="L158" s="62">
        <v>25</v>
      </c>
      <c r="M158" s="84" t="s">
        <v>224</v>
      </c>
      <c r="N158" s="63">
        <v>196005</v>
      </c>
      <c r="O158" s="62" t="s">
        <v>89</v>
      </c>
      <c r="P158" s="62">
        <v>8</v>
      </c>
      <c r="Q158" s="64" t="s">
        <v>198</v>
      </c>
      <c r="R158" s="64" t="s">
        <v>91</v>
      </c>
      <c r="S158" s="64" t="s">
        <v>199</v>
      </c>
      <c r="T158" s="65" t="s">
        <v>92</v>
      </c>
      <c r="U158" s="65" t="s">
        <v>93</v>
      </c>
      <c r="V158" s="62" t="s">
        <v>94</v>
      </c>
      <c r="W158" s="62">
        <v>31</v>
      </c>
      <c r="X158" s="66" t="s">
        <v>95</v>
      </c>
      <c r="Y158" s="66" t="s">
        <v>96</v>
      </c>
      <c r="Z158" s="87">
        <v>6000</v>
      </c>
      <c r="AA158" s="84" t="s">
        <v>205</v>
      </c>
      <c r="AB158" s="87">
        <v>3900</v>
      </c>
      <c r="AC158" s="62" t="s">
        <v>97</v>
      </c>
      <c r="AD158" s="75" t="s">
        <v>97</v>
      </c>
      <c r="AE158" s="35"/>
      <c r="AF158" s="37">
        <v>184245</v>
      </c>
      <c r="AG158" s="29" t="s">
        <v>98</v>
      </c>
      <c r="AH158" s="226">
        <v>18620</v>
      </c>
      <c r="AI158" s="48" t="s">
        <v>224</v>
      </c>
      <c r="AJ158" s="39">
        <v>6000</v>
      </c>
      <c r="AK158" s="39" t="s">
        <v>205</v>
      </c>
      <c r="AL158" s="39">
        <v>3900</v>
      </c>
      <c r="AM158" s="30" t="s">
        <v>94</v>
      </c>
      <c r="AN158" s="40">
        <v>55100</v>
      </c>
      <c r="AO158" s="41" t="s">
        <v>331</v>
      </c>
      <c r="AP158" s="41" t="s">
        <v>332</v>
      </c>
      <c r="AQ158" s="27">
        <v>3000</v>
      </c>
      <c r="AR158" s="27" t="s">
        <v>94</v>
      </c>
      <c r="AS158" s="27">
        <v>900</v>
      </c>
      <c r="AT158" s="29">
        <v>41</v>
      </c>
      <c r="AU158" s="29" t="s">
        <v>100</v>
      </c>
      <c r="AV158" s="31">
        <v>42</v>
      </c>
      <c r="AW158" s="31" t="s">
        <v>100</v>
      </c>
      <c r="AX158" s="209"/>
      <c r="AY158" s="285"/>
      <c r="AZ158" s="285"/>
      <c r="BA158" s="286"/>
      <c r="BB158" s="286"/>
      <c r="BC158" s="44" t="s">
        <v>204</v>
      </c>
      <c r="BD158" s="33" t="s">
        <v>103</v>
      </c>
      <c r="BE158" s="271" t="s">
        <v>104</v>
      </c>
      <c r="BF158" s="271" t="s">
        <v>105</v>
      </c>
      <c r="BG158" s="269">
        <v>0</v>
      </c>
      <c r="BH158" s="42">
        <v>24000</v>
      </c>
      <c r="BI158" s="47" t="s">
        <v>100</v>
      </c>
      <c r="BJ158" s="32" t="s">
        <v>309</v>
      </c>
      <c r="BK158" s="32">
        <v>500</v>
      </c>
      <c r="BL158" s="26" t="s">
        <v>106</v>
      </c>
      <c r="BM158" s="26" t="s">
        <v>107</v>
      </c>
      <c r="BN158" s="209">
        <v>0</v>
      </c>
      <c r="BO158" s="26" t="s">
        <v>108</v>
      </c>
      <c r="BP158" s="34" t="s">
        <v>109</v>
      </c>
      <c r="BQ158" s="209">
        <v>4000</v>
      </c>
      <c r="BR158" s="26" t="s">
        <v>108</v>
      </c>
      <c r="BS158" s="34" t="s">
        <v>110</v>
      </c>
      <c r="BT158" s="209">
        <v>5500</v>
      </c>
      <c r="BU158" s="211">
        <v>11000</v>
      </c>
      <c r="BV158" s="212" t="s">
        <v>100</v>
      </c>
      <c r="BW158" s="212" t="s">
        <v>286</v>
      </c>
      <c r="BX158" s="213" t="s">
        <v>100</v>
      </c>
      <c r="BY158" s="213" t="s">
        <v>100</v>
      </c>
      <c r="BZ158" s="45">
        <v>2000</v>
      </c>
    </row>
    <row r="159" spans="2:78" ht="25.5">
      <c r="B159" s="280"/>
      <c r="C159" s="1"/>
      <c r="D159" s="296"/>
      <c r="E159" s="310"/>
      <c r="F159" s="302"/>
      <c r="G159" s="74">
        <v>445</v>
      </c>
      <c r="H159" s="62">
        <v>355</v>
      </c>
      <c r="I159" s="62">
        <v>10000</v>
      </c>
      <c r="J159" s="62">
        <v>10000</v>
      </c>
      <c r="K159" s="62">
        <v>50</v>
      </c>
      <c r="L159" s="62">
        <v>27</v>
      </c>
      <c r="M159" s="84" t="s">
        <v>224</v>
      </c>
      <c r="N159" s="63">
        <v>197286</v>
      </c>
      <c r="O159" s="62" t="s">
        <v>89</v>
      </c>
      <c r="P159" s="62">
        <v>8</v>
      </c>
      <c r="Q159" s="64" t="s">
        <v>198</v>
      </c>
      <c r="R159" s="64" t="s">
        <v>91</v>
      </c>
      <c r="S159" s="64" t="s">
        <v>199</v>
      </c>
      <c r="T159" s="65" t="s">
        <v>92</v>
      </c>
      <c r="U159" s="65" t="s">
        <v>93</v>
      </c>
      <c r="V159" s="62" t="s">
        <v>94</v>
      </c>
      <c r="W159" s="62">
        <v>31</v>
      </c>
      <c r="X159" s="66" t="s">
        <v>95</v>
      </c>
      <c r="Y159" s="66" t="s">
        <v>96</v>
      </c>
      <c r="Z159" s="87">
        <v>6000</v>
      </c>
      <c r="AA159" s="84" t="s">
        <v>205</v>
      </c>
      <c r="AB159" s="87">
        <v>3900</v>
      </c>
      <c r="AC159" s="62" t="s">
        <v>97</v>
      </c>
      <c r="AD159" s="75" t="s">
        <v>97</v>
      </c>
      <c r="AE159" s="35"/>
      <c r="AF159" s="37">
        <v>185449</v>
      </c>
      <c r="AG159" s="29" t="s">
        <v>98</v>
      </c>
      <c r="AH159" s="226">
        <v>18742</v>
      </c>
      <c r="AI159" s="48" t="s">
        <v>224</v>
      </c>
      <c r="AJ159" s="39">
        <v>6000</v>
      </c>
      <c r="AK159" s="39" t="s">
        <v>205</v>
      </c>
      <c r="AL159" s="39">
        <v>3900</v>
      </c>
      <c r="AM159" s="30" t="s">
        <v>94</v>
      </c>
      <c r="AN159" s="40">
        <v>55100</v>
      </c>
      <c r="AO159" s="41" t="s">
        <v>331</v>
      </c>
      <c r="AP159" s="41" t="s">
        <v>332</v>
      </c>
      <c r="AQ159" s="27">
        <v>3000</v>
      </c>
      <c r="AR159" s="27" t="s">
        <v>94</v>
      </c>
      <c r="AS159" s="27">
        <v>900</v>
      </c>
      <c r="AT159" s="29">
        <v>41</v>
      </c>
      <c r="AU159" s="29" t="s">
        <v>100</v>
      </c>
      <c r="AV159" s="31">
        <v>42</v>
      </c>
      <c r="AW159" s="31" t="s">
        <v>100</v>
      </c>
      <c r="AX159" s="209"/>
      <c r="AY159" s="285"/>
      <c r="AZ159" s="285"/>
      <c r="BA159" s="286"/>
      <c r="BB159" s="286"/>
      <c r="BC159" s="44" t="s">
        <v>204</v>
      </c>
      <c r="BD159" s="33" t="s">
        <v>103</v>
      </c>
      <c r="BE159" s="271" t="s">
        <v>104</v>
      </c>
      <c r="BF159" s="271" t="s">
        <v>105</v>
      </c>
      <c r="BG159" s="269">
        <v>0</v>
      </c>
      <c r="BH159" s="42">
        <v>24000</v>
      </c>
      <c r="BI159" s="47" t="s">
        <v>100</v>
      </c>
      <c r="BJ159" s="32" t="s">
        <v>309</v>
      </c>
      <c r="BK159" s="32">
        <v>500</v>
      </c>
      <c r="BL159" s="26" t="s">
        <v>106</v>
      </c>
      <c r="BM159" s="26" t="s">
        <v>107</v>
      </c>
      <c r="BN159" s="209">
        <v>0</v>
      </c>
      <c r="BO159" s="26" t="s">
        <v>108</v>
      </c>
      <c r="BP159" s="34" t="s">
        <v>109</v>
      </c>
      <c r="BQ159" s="209">
        <v>4000</v>
      </c>
      <c r="BR159" s="26" t="s">
        <v>108</v>
      </c>
      <c r="BS159" s="34" t="s">
        <v>110</v>
      </c>
      <c r="BT159" s="209">
        <v>5500</v>
      </c>
      <c r="BU159" s="211">
        <v>11000</v>
      </c>
      <c r="BV159" s="212" t="s">
        <v>100</v>
      </c>
      <c r="BW159" s="212" t="s">
        <v>286</v>
      </c>
      <c r="BX159" s="213" t="s">
        <v>100</v>
      </c>
      <c r="BY159" s="213" t="s">
        <v>100</v>
      </c>
      <c r="BZ159" s="45">
        <v>2000</v>
      </c>
    </row>
    <row r="160" spans="2:78" ht="25.5">
      <c r="B160" s="280"/>
      <c r="C160" s="1"/>
      <c r="D160" s="296"/>
      <c r="E160" s="310"/>
      <c r="F160" s="302"/>
      <c r="G160" s="74">
        <v>470</v>
      </c>
      <c r="H160" s="62">
        <v>375</v>
      </c>
      <c r="I160" s="62">
        <v>10000</v>
      </c>
      <c r="J160" s="62">
        <v>10000</v>
      </c>
      <c r="K160" s="62">
        <v>50</v>
      </c>
      <c r="L160" s="62">
        <v>28</v>
      </c>
      <c r="M160" s="84" t="s">
        <v>224</v>
      </c>
      <c r="N160" s="63">
        <v>198311</v>
      </c>
      <c r="O160" s="62" t="s">
        <v>89</v>
      </c>
      <c r="P160" s="62">
        <v>8</v>
      </c>
      <c r="Q160" s="64" t="s">
        <v>198</v>
      </c>
      <c r="R160" s="64" t="s">
        <v>91</v>
      </c>
      <c r="S160" s="64" t="s">
        <v>199</v>
      </c>
      <c r="T160" s="65" t="s">
        <v>92</v>
      </c>
      <c r="U160" s="65" t="s">
        <v>93</v>
      </c>
      <c r="V160" s="62" t="s">
        <v>94</v>
      </c>
      <c r="W160" s="62">
        <v>31</v>
      </c>
      <c r="X160" s="66" t="s">
        <v>95</v>
      </c>
      <c r="Y160" s="66" t="s">
        <v>96</v>
      </c>
      <c r="Z160" s="87">
        <v>6000</v>
      </c>
      <c r="AA160" s="84" t="s">
        <v>205</v>
      </c>
      <c r="AB160" s="87">
        <v>3900</v>
      </c>
      <c r="AC160" s="62" t="s">
        <v>97</v>
      </c>
      <c r="AD160" s="75" t="s">
        <v>97</v>
      </c>
      <c r="AE160" s="35"/>
      <c r="AF160" s="37">
        <v>186412</v>
      </c>
      <c r="AG160" s="29" t="s">
        <v>98</v>
      </c>
      <c r="AH160" s="226">
        <v>18840</v>
      </c>
      <c r="AI160" s="48" t="s">
        <v>224</v>
      </c>
      <c r="AJ160" s="39">
        <v>6000</v>
      </c>
      <c r="AK160" s="39" t="s">
        <v>205</v>
      </c>
      <c r="AL160" s="39">
        <v>3900</v>
      </c>
      <c r="AM160" s="30" t="s">
        <v>94</v>
      </c>
      <c r="AN160" s="40">
        <v>55100</v>
      </c>
      <c r="AO160" s="41" t="s">
        <v>331</v>
      </c>
      <c r="AP160" s="41" t="s">
        <v>332</v>
      </c>
      <c r="AQ160" s="27">
        <v>3000</v>
      </c>
      <c r="AR160" s="27" t="s">
        <v>94</v>
      </c>
      <c r="AS160" s="27">
        <v>900</v>
      </c>
      <c r="AT160" s="29">
        <v>41</v>
      </c>
      <c r="AU160" s="29" t="s">
        <v>100</v>
      </c>
      <c r="AV160" s="31">
        <v>42</v>
      </c>
      <c r="AW160" s="31" t="s">
        <v>100</v>
      </c>
      <c r="AX160" s="209"/>
      <c r="AY160" s="285"/>
      <c r="AZ160" s="285"/>
      <c r="BA160" s="286"/>
      <c r="BB160" s="286"/>
      <c r="BC160" s="44" t="s">
        <v>204</v>
      </c>
      <c r="BD160" s="33" t="s">
        <v>103</v>
      </c>
      <c r="BE160" s="271" t="s">
        <v>104</v>
      </c>
      <c r="BF160" s="271" t="s">
        <v>105</v>
      </c>
      <c r="BG160" s="269">
        <v>0</v>
      </c>
      <c r="BH160" s="42">
        <v>24000</v>
      </c>
      <c r="BI160" s="47" t="s">
        <v>100</v>
      </c>
      <c r="BJ160" s="32" t="s">
        <v>309</v>
      </c>
      <c r="BK160" s="32">
        <v>500</v>
      </c>
      <c r="BL160" s="26" t="s">
        <v>106</v>
      </c>
      <c r="BM160" s="26" t="s">
        <v>107</v>
      </c>
      <c r="BN160" s="209">
        <v>0</v>
      </c>
      <c r="BO160" s="26" t="s">
        <v>108</v>
      </c>
      <c r="BP160" s="34" t="s">
        <v>109</v>
      </c>
      <c r="BQ160" s="209">
        <v>4000</v>
      </c>
      <c r="BR160" s="26" t="s">
        <v>108</v>
      </c>
      <c r="BS160" s="34" t="s">
        <v>110</v>
      </c>
      <c r="BT160" s="209">
        <v>5500</v>
      </c>
      <c r="BU160" s="211">
        <v>11000</v>
      </c>
      <c r="BV160" s="212" t="s">
        <v>100</v>
      </c>
      <c r="BW160" s="212" t="s">
        <v>286</v>
      </c>
      <c r="BX160" s="213" t="s">
        <v>100</v>
      </c>
      <c r="BY160" s="213" t="s">
        <v>100</v>
      </c>
      <c r="BZ160" s="45">
        <v>2000</v>
      </c>
    </row>
    <row r="161" spans="2:78" ht="26.25" thickBot="1">
      <c r="B161" s="280"/>
      <c r="C161" s="1"/>
      <c r="D161" s="296"/>
      <c r="E161" s="310"/>
      <c r="F161" s="302"/>
      <c r="G161" s="74">
        <v>500</v>
      </c>
      <c r="H161" s="62">
        <v>400</v>
      </c>
      <c r="I161" s="62">
        <v>10000</v>
      </c>
      <c r="J161" s="62">
        <v>10000</v>
      </c>
      <c r="K161" s="62">
        <v>50</v>
      </c>
      <c r="L161" s="62">
        <v>29</v>
      </c>
      <c r="M161" s="84" t="s">
        <v>224</v>
      </c>
      <c r="N161" s="63">
        <v>198311</v>
      </c>
      <c r="O161" s="62" t="s">
        <v>89</v>
      </c>
      <c r="P161" s="62">
        <v>8</v>
      </c>
      <c r="Q161" s="64" t="s">
        <v>198</v>
      </c>
      <c r="R161" s="64" t="s">
        <v>91</v>
      </c>
      <c r="S161" s="64" t="s">
        <v>199</v>
      </c>
      <c r="T161" s="65" t="s">
        <v>92</v>
      </c>
      <c r="U161" s="65" t="s">
        <v>93</v>
      </c>
      <c r="V161" s="62" t="s">
        <v>94</v>
      </c>
      <c r="W161" s="62">
        <v>31</v>
      </c>
      <c r="X161" s="66" t="s">
        <v>95</v>
      </c>
      <c r="Y161" s="66" t="s">
        <v>96</v>
      </c>
      <c r="Z161" s="87">
        <v>6000</v>
      </c>
      <c r="AA161" s="84" t="s">
        <v>205</v>
      </c>
      <c r="AB161" s="87">
        <v>3900</v>
      </c>
      <c r="AC161" s="62" t="s">
        <v>97</v>
      </c>
      <c r="AD161" s="75" t="s">
        <v>97</v>
      </c>
      <c r="AE161" s="35"/>
      <c r="AF161" s="37">
        <v>186412</v>
      </c>
      <c r="AG161" s="29" t="s">
        <v>98</v>
      </c>
      <c r="AH161" s="218">
        <v>18840</v>
      </c>
      <c r="AI161" s="219" t="s">
        <v>224</v>
      </c>
      <c r="AJ161" s="220">
        <v>6000</v>
      </c>
      <c r="AK161" s="220" t="s">
        <v>205</v>
      </c>
      <c r="AL161" s="220">
        <v>3900</v>
      </c>
      <c r="AM161" s="221" t="s">
        <v>94</v>
      </c>
      <c r="AN161" s="40">
        <v>55100</v>
      </c>
      <c r="AO161" s="41" t="s">
        <v>331</v>
      </c>
      <c r="AP161" s="41" t="s">
        <v>332</v>
      </c>
      <c r="AQ161" s="27">
        <v>3000</v>
      </c>
      <c r="AR161" s="27" t="s">
        <v>94</v>
      </c>
      <c r="AS161" s="27">
        <v>900</v>
      </c>
      <c r="AT161" s="29">
        <v>41</v>
      </c>
      <c r="AU161" s="29" t="s">
        <v>100</v>
      </c>
      <c r="AV161" s="31">
        <v>42</v>
      </c>
      <c r="AW161" s="31" t="s">
        <v>100</v>
      </c>
      <c r="AX161" s="209"/>
      <c r="AY161" s="285"/>
      <c r="AZ161" s="285"/>
      <c r="BA161" s="286"/>
      <c r="BB161" s="286"/>
      <c r="BC161" s="44" t="s">
        <v>204</v>
      </c>
      <c r="BD161" s="33" t="s">
        <v>103</v>
      </c>
      <c r="BE161" s="271" t="s">
        <v>104</v>
      </c>
      <c r="BF161" s="271" t="s">
        <v>105</v>
      </c>
      <c r="BG161" s="269">
        <v>0</v>
      </c>
      <c r="BH161" s="42">
        <v>24000</v>
      </c>
      <c r="BI161" s="47" t="s">
        <v>100</v>
      </c>
      <c r="BJ161" s="32" t="s">
        <v>309</v>
      </c>
      <c r="BK161" s="32">
        <v>500</v>
      </c>
      <c r="BL161" s="26" t="s">
        <v>106</v>
      </c>
      <c r="BM161" s="26" t="s">
        <v>107</v>
      </c>
      <c r="BN161" s="209">
        <v>0</v>
      </c>
      <c r="BO161" s="26" t="s">
        <v>108</v>
      </c>
      <c r="BP161" s="34" t="s">
        <v>109</v>
      </c>
      <c r="BQ161" s="209">
        <v>4000</v>
      </c>
      <c r="BR161" s="26" t="s">
        <v>108</v>
      </c>
      <c r="BS161" s="34" t="s">
        <v>110</v>
      </c>
      <c r="BT161" s="209">
        <v>5500</v>
      </c>
      <c r="BU161" s="211">
        <v>11000</v>
      </c>
      <c r="BV161" s="212" t="s">
        <v>100</v>
      </c>
      <c r="BW161" s="212" t="s">
        <v>286</v>
      </c>
      <c r="BX161" s="213" t="s">
        <v>100</v>
      </c>
      <c r="BY161" s="213" t="s">
        <v>100</v>
      </c>
      <c r="BZ161" s="45">
        <v>2000</v>
      </c>
    </row>
    <row r="162" spans="2:78" ht="25.5">
      <c r="B162" s="280"/>
      <c r="C162" s="1"/>
      <c r="D162" s="296"/>
      <c r="E162" s="310"/>
      <c r="F162" s="302"/>
      <c r="G162" s="74">
        <v>565</v>
      </c>
      <c r="H162" s="62">
        <v>450</v>
      </c>
      <c r="I162" s="62">
        <v>10000</v>
      </c>
      <c r="J162" s="62">
        <v>10000</v>
      </c>
      <c r="K162" s="62">
        <v>50</v>
      </c>
      <c r="L162" s="62">
        <v>34</v>
      </c>
      <c r="M162" s="84" t="s">
        <v>224</v>
      </c>
      <c r="N162" s="63">
        <v>200060</v>
      </c>
      <c r="O162" s="62" t="s">
        <v>89</v>
      </c>
      <c r="P162" s="62">
        <v>8</v>
      </c>
      <c r="Q162" s="64" t="s">
        <v>198</v>
      </c>
      <c r="R162" s="64" t="s">
        <v>91</v>
      </c>
      <c r="S162" s="64" t="s">
        <v>199</v>
      </c>
      <c r="T162" s="65" t="s">
        <v>92</v>
      </c>
      <c r="U162" s="65" t="s">
        <v>93</v>
      </c>
      <c r="V162" s="62" t="s">
        <v>94</v>
      </c>
      <c r="W162" s="62">
        <v>31</v>
      </c>
      <c r="X162" s="66" t="s">
        <v>95</v>
      </c>
      <c r="Y162" s="66" t="s">
        <v>96</v>
      </c>
      <c r="Z162" s="87">
        <v>6000</v>
      </c>
      <c r="AA162" s="84" t="s">
        <v>205</v>
      </c>
      <c r="AB162" s="87">
        <v>3900</v>
      </c>
      <c r="AC162" s="62" t="s">
        <v>97</v>
      </c>
      <c r="AD162" s="75" t="s">
        <v>97</v>
      </c>
      <c r="AE162" s="35"/>
      <c r="AF162" s="37">
        <v>188056</v>
      </c>
      <c r="AG162" s="29" t="s">
        <v>98</v>
      </c>
      <c r="AH162" s="222">
        <v>19006</v>
      </c>
      <c r="AI162" s="223" t="s">
        <v>225</v>
      </c>
      <c r="AJ162" s="224">
        <v>8000</v>
      </c>
      <c r="AK162" s="224" t="s">
        <v>202</v>
      </c>
      <c r="AL162" s="224">
        <v>4300</v>
      </c>
      <c r="AM162" s="225" t="s">
        <v>94</v>
      </c>
      <c r="AN162" s="40">
        <v>55100</v>
      </c>
      <c r="AO162" s="41" t="s">
        <v>331</v>
      </c>
      <c r="AP162" s="41" t="s">
        <v>332</v>
      </c>
      <c r="AQ162" s="27">
        <v>3000</v>
      </c>
      <c r="AR162" s="27" t="s">
        <v>94</v>
      </c>
      <c r="AS162" s="27">
        <v>900</v>
      </c>
      <c r="AT162" s="29">
        <v>41</v>
      </c>
      <c r="AU162" s="29" t="s">
        <v>100</v>
      </c>
      <c r="AV162" s="31">
        <v>42</v>
      </c>
      <c r="AW162" s="31" t="s">
        <v>100</v>
      </c>
      <c r="AX162" s="209"/>
      <c r="AY162" s="285"/>
      <c r="AZ162" s="285"/>
      <c r="BA162" s="286"/>
      <c r="BB162" s="286"/>
      <c r="BC162" s="44" t="s">
        <v>204</v>
      </c>
      <c r="BD162" s="33" t="s">
        <v>103</v>
      </c>
      <c r="BE162" s="271" t="s">
        <v>104</v>
      </c>
      <c r="BF162" s="271" t="s">
        <v>105</v>
      </c>
      <c r="BG162" s="269">
        <v>0</v>
      </c>
      <c r="BH162" s="42">
        <v>24000</v>
      </c>
      <c r="BI162" s="47" t="s">
        <v>100</v>
      </c>
      <c r="BJ162" s="32" t="s">
        <v>309</v>
      </c>
      <c r="BK162" s="32">
        <v>500</v>
      </c>
      <c r="BL162" s="26" t="s">
        <v>106</v>
      </c>
      <c r="BM162" s="26" t="s">
        <v>107</v>
      </c>
      <c r="BN162" s="209">
        <v>0</v>
      </c>
      <c r="BO162" s="26" t="s">
        <v>108</v>
      </c>
      <c r="BP162" s="34" t="s">
        <v>109</v>
      </c>
      <c r="BQ162" s="209">
        <v>4000</v>
      </c>
      <c r="BR162" s="26" t="s">
        <v>108</v>
      </c>
      <c r="BS162" s="34" t="s">
        <v>110</v>
      </c>
      <c r="BT162" s="209">
        <v>5500</v>
      </c>
      <c r="BU162" s="211">
        <v>11000</v>
      </c>
      <c r="BV162" s="212" t="s">
        <v>100</v>
      </c>
      <c r="BW162" s="212" t="s">
        <v>286</v>
      </c>
      <c r="BX162" s="213" t="s">
        <v>100</v>
      </c>
      <c r="BY162" s="213" t="s">
        <v>100</v>
      </c>
      <c r="BZ162" s="45">
        <v>2000</v>
      </c>
    </row>
    <row r="163" spans="2:78" ht="25.5">
      <c r="B163" s="280"/>
      <c r="C163" s="1"/>
      <c r="D163" s="296"/>
      <c r="E163" s="310"/>
      <c r="F163" s="302"/>
      <c r="G163" s="74">
        <v>595</v>
      </c>
      <c r="H163" s="62">
        <v>475</v>
      </c>
      <c r="I163" s="62">
        <v>10000</v>
      </c>
      <c r="J163" s="62">
        <v>10000</v>
      </c>
      <c r="K163" s="62">
        <v>50</v>
      </c>
      <c r="L163" s="62">
        <v>36</v>
      </c>
      <c r="M163" s="84" t="s">
        <v>224</v>
      </c>
      <c r="N163" s="63">
        <v>206894</v>
      </c>
      <c r="O163" s="62" t="s">
        <v>89</v>
      </c>
      <c r="P163" s="62">
        <v>8</v>
      </c>
      <c r="Q163" s="64" t="s">
        <v>198</v>
      </c>
      <c r="R163" s="64" t="s">
        <v>91</v>
      </c>
      <c r="S163" s="64" t="s">
        <v>199</v>
      </c>
      <c r="T163" s="65" t="s">
        <v>92</v>
      </c>
      <c r="U163" s="65" t="s">
        <v>93</v>
      </c>
      <c r="V163" s="62" t="s">
        <v>94</v>
      </c>
      <c r="W163" s="62">
        <v>31</v>
      </c>
      <c r="X163" s="66" t="s">
        <v>95</v>
      </c>
      <c r="Y163" s="66" t="s">
        <v>96</v>
      </c>
      <c r="Z163" s="87">
        <v>6000</v>
      </c>
      <c r="AA163" s="84" t="s">
        <v>205</v>
      </c>
      <c r="AB163" s="87">
        <v>3900</v>
      </c>
      <c r="AC163" s="62" t="s">
        <v>97</v>
      </c>
      <c r="AD163" s="75" t="s">
        <v>97</v>
      </c>
      <c r="AE163" s="35"/>
      <c r="AF163" s="37">
        <v>194480</v>
      </c>
      <c r="AG163" s="29" t="s">
        <v>98</v>
      </c>
      <c r="AH163" s="226">
        <v>19655</v>
      </c>
      <c r="AI163" s="48" t="s">
        <v>225</v>
      </c>
      <c r="AJ163" s="39">
        <v>8000</v>
      </c>
      <c r="AK163" s="39" t="s">
        <v>202</v>
      </c>
      <c r="AL163" s="39">
        <v>4300</v>
      </c>
      <c r="AM163" s="30" t="s">
        <v>94</v>
      </c>
      <c r="AN163" s="40">
        <v>55100</v>
      </c>
      <c r="AO163" s="41" t="s">
        <v>331</v>
      </c>
      <c r="AP163" s="41" t="s">
        <v>332</v>
      </c>
      <c r="AQ163" s="27">
        <v>3000</v>
      </c>
      <c r="AR163" s="27" t="s">
        <v>94</v>
      </c>
      <c r="AS163" s="27">
        <v>900</v>
      </c>
      <c r="AT163" s="29">
        <v>41</v>
      </c>
      <c r="AU163" s="29" t="s">
        <v>100</v>
      </c>
      <c r="AV163" s="31">
        <v>42</v>
      </c>
      <c r="AW163" s="31" t="s">
        <v>100</v>
      </c>
      <c r="AX163" s="209"/>
      <c r="AY163" s="285"/>
      <c r="AZ163" s="285"/>
      <c r="BA163" s="286"/>
      <c r="BB163" s="286"/>
      <c r="BC163" s="44" t="s">
        <v>204</v>
      </c>
      <c r="BD163" s="33" t="s">
        <v>103</v>
      </c>
      <c r="BE163" s="271" t="s">
        <v>104</v>
      </c>
      <c r="BF163" s="271" t="s">
        <v>105</v>
      </c>
      <c r="BG163" s="269">
        <v>0</v>
      </c>
      <c r="BH163" s="42">
        <v>24000</v>
      </c>
      <c r="BI163" s="47" t="s">
        <v>100</v>
      </c>
      <c r="BJ163" s="32" t="s">
        <v>309</v>
      </c>
      <c r="BK163" s="32">
        <v>500</v>
      </c>
      <c r="BL163" s="26" t="s">
        <v>106</v>
      </c>
      <c r="BM163" s="26" t="s">
        <v>107</v>
      </c>
      <c r="BN163" s="209">
        <v>0</v>
      </c>
      <c r="BO163" s="26" t="s">
        <v>108</v>
      </c>
      <c r="BP163" s="34" t="s">
        <v>109</v>
      </c>
      <c r="BQ163" s="209">
        <v>4000</v>
      </c>
      <c r="BR163" s="26" t="s">
        <v>108</v>
      </c>
      <c r="BS163" s="34" t="s">
        <v>110</v>
      </c>
      <c r="BT163" s="209">
        <v>5500</v>
      </c>
      <c r="BU163" s="211">
        <v>11000</v>
      </c>
      <c r="BV163" s="212" t="s">
        <v>100</v>
      </c>
      <c r="BW163" s="212" t="s">
        <v>286</v>
      </c>
      <c r="BX163" s="213" t="s">
        <v>100</v>
      </c>
      <c r="BY163" s="213" t="s">
        <v>100</v>
      </c>
      <c r="BZ163" s="45">
        <v>2000</v>
      </c>
    </row>
    <row r="164" spans="2:78" ht="25.5">
      <c r="B164" s="280"/>
      <c r="C164" s="1"/>
      <c r="D164" s="296"/>
      <c r="E164" s="310"/>
      <c r="F164" s="302"/>
      <c r="G164" s="74">
        <v>625</v>
      </c>
      <c r="H164" s="62">
        <v>500</v>
      </c>
      <c r="I164" s="62">
        <v>10000</v>
      </c>
      <c r="J164" s="62">
        <v>10000</v>
      </c>
      <c r="K164" s="62">
        <v>50</v>
      </c>
      <c r="L164" s="62">
        <v>38</v>
      </c>
      <c r="M164" s="84" t="s">
        <v>224</v>
      </c>
      <c r="N164" s="63">
        <v>208649</v>
      </c>
      <c r="O164" s="62" t="s">
        <v>89</v>
      </c>
      <c r="P164" s="62">
        <v>8</v>
      </c>
      <c r="Q164" s="64" t="s">
        <v>198</v>
      </c>
      <c r="R164" s="64" t="s">
        <v>91</v>
      </c>
      <c r="S164" s="64" t="s">
        <v>199</v>
      </c>
      <c r="T164" s="65" t="s">
        <v>92</v>
      </c>
      <c r="U164" s="65" t="s">
        <v>93</v>
      </c>
      <c r="V164" s="62" t="s">
        <v>94</v>
      </c>
      <c r="W164" s="62">
        <v>31</v>
      </c>
      <c r="X164" s="66" t="s">
        <v>95</v>
      </c>
      <c r="Y164" s="66" t="s">
        <v>96</v>
      </c>
      <c r="Z164" s="87">
        <v>6000</v>
      </c>
      <c r="AA164" s="84" t="s">
        <v>205</v>
      </c>
      <c r="AB164" s="87">
        <v>3900</v>
      </c>
      <c r="AC164" s="62" t="s">
        <v>97</v>
      </c>
      <c r="AD164" s="75" t="s">
        <v>97</v>
      </c>
      <c r="AE164" s="35"/>
      <c r="AF164" s="37">
        <v>196130</v>
      </c>
      <c r="AG164" s="29" t="s">
        <v>98</v>
      </c>
      <c r="AH164" s="226">
        <v>19822</v>
      </c>
      <c r="AI164" s="48" t="s">
        <v>225</v>
      </c>
      <c r="AJ164" s="39">
        <v>8000</v>
      </c>
      <c r="AK164" s="39" t="s">
        <v>202</v>
      </c>
      <c r="AL164" s="39">
        <v>4300</v>
      </c>
      <c r="AM164" s="30" t="s">
        <v>94</v>
      </c>
      <c r="AN164" s="40">
        <v>55100</v>
      </c>
      <c r="AO164" s="41" t="s">
        <v>331</v>
      </c>
      <c r="AP164" s="41" t="s">
        <v>332</v>
      </c>
      <c r="AQ164" s="27">
        <v>3000</v>
      </c>
      <c r="AR164" s="27" t="s">
        <v>94</v>
      </c>
      <c r="AS164" s="27">
        <v>900</v>
      </c>
      <c r="AT164" s="29">
        <v>41</v>
      </c>
      <c r="AU164" s="29" t="s">
        <v>100</v>
      </c>
      <c r="AV164" s="31">
        <v>42</v>
      </c>
      <c r="AW164" s="31" t="s">
        <v>100</v>
      </c>
      <c r="AX164" s="209"/>
      <c r="AY164" s="285"/>
      <c r="AZ164" s="285"/>
      <c r="BA164" s="286"/>
      <c r="BB164" s="286"/>
      <c r="BC164" s="44" t="s">
        <v>204</v>
      </c>
      <c r="BD164" s="33" t="s">
        <v>103</v>
      </c>
      <c r="BE164" s="271" t="s">
        <v>104</v>
      </c>
      <c r="BF164" s="271" t="s">
        <v>105</v>
      </c>
      <c r="BG164" s="269">
        <v>0</v>
      </c>
      <c r="BH164" s="42">
        <v>24000</v>
      </c>
      <c r="BI164" s="47" t="s">
        <v>100</v>
      </c>
      <c r="BJ164" s="32" t="s">
        <v>309</v>
      </c>
      <c r="BK164" s="32">
        <v>500</v>
      </c>
      <c r="BL164" s="26" t="s">
        <v>106</v>
      </c>
      <c r="BM164" s="26" t="s">
        <v>107</v>
      </c>
      <c r="BN164" s="209">
        <v>0</v>
      </c>
      <c r="BO164" s="26" t="s">
        <v>108</v>
      </c>
      <c r="BP164" s="34" t="s">
        <v>109</v>
      </c>
      <c r="BQ164" s="209">
        <v>4000</v>
      </c>
      <c r="BR164" s="26" t="s">
        <v>108</v>
      </c>
      <c r="BS164" s="34" t="s">
        <v>110</v>
      </c>
      <c r="BT164" s="209">
        <v>5500</v>
      </c>
      <c r="BU164" s="211">
        <v>11000</v>
      </c>
      <c r="BV164" s="212" t="s">
        <v>100</v>
      </c>
      <c r="BW164" s="212" t="s">
        <v>286</v>
      </c>
      <c r="BX164" s="213" t="s">
        <v>100</v>
      </c>
      <c r="BY164" s="213" t="s">
        <v>100</v>
      </c>
      <c r="BZ164" s="45">
        <v>2000</v>
      </c>
    </row>
    <row r="165" spans="2:78" ht="25.5">
      <c r="B165" s="280"/>
      <c r="C165" s="1"/>
      <c r="D165" s="296"/>
      <c r="E165" s="310"/>
      <c r="F165" s="302"/>
      <c r="G165" s="74">
        <v>665</v>
      </c>
      <c r="H165" s="62">
        <v>530</v>
      </c>
      <c r="I165" s="62">
        <v>10000</v>
      </c>
      <c r="J165" s="62">
        <v>10000</v>
      </c>
      <c r="K165" s="62">
        <v>50</v>
      </c>
      <c r="L165" s="62">
        <v>40</v>
      </c>
      <c r="M165" s="84" t="s">
        <v>224</v>
      </c>
      <c r="N165" s="63">
        <v>208816</v>
      </c>
      <c r="O165" s="62" t="s">
        <v>89</v>
      </c>
      <c r="P165" s="62">
        <v>8</v>
      </c>
      <c r="Q165" s="64" t="s">
        <v>198</v>
      </c>
      <c r="R165" s="64" t="s">
        <v>91</v>
      </c>
      <c r="S165" s="64" t="s">
        <v>199</v>
      </c>
      <c r="T165" s="65" t="s">
        <v>92</v>
      </c>
      <c r="U165" s="65" t="s">
        <v>93</v>
      </c>
      <c r="V165" s="62" t="s">
        <v>94</v>
      </c>
      <c r="W165" s="62">
        <v>31</v>
      </c>
      <c r="X165" s="66" t="s">
        <v>95</v>
      </c>
      <c r="Y165" s="66" t="s">
        <v>96</v>
      </c>
      <c r="Z165" s="87">
        <v>6000</v>
      </c>
      <c r="AA165" s="84" t="s">
        <v>205</v>
      </c>
      <c r="AB165" s="87">
        <v>3900</v>
      </c>
      <c r="AC165" s="62" t="s">
        <v>97</v>
      </c>
      <c r="AD165" s="75" t="s">
        <v>97</v>
      </c>
      <c r="AE165" s="35"/>
      <c r="AF165" s="37">
        <v>196287</v>
      </c>
      <c r="AG165" s="29" t="s">
        <v>98</v>
      </c>
      <c r="AH165" s="226">
        <v>19838</v>
      </c>
      <c r="AI165" s="48" t="s">
        <v>225</v>
      </c>
      <c r="AJ165" s="39">
        <v>8000</v>
      </c>
      <c r="AK165" s="39" t="s">
        <v>202</v>
      </c>
      <c r="AL165" s="39">
        <v>4300</v>
      </c>
      <c r="AM165" s="30" t="s">
        <v>94</v>
      </c>
      <c r="AN165" s="40">
        <v>61750</v>
      </c>
      <c r="AO165" s="41" t="s">
        <v>331</v>
      </c>
      <c r="AP165" s="41" t="s">
        <v>332</v>
      </c>
      <c r="AQ165" s="27">
        <v>3000</v>
      </c>
      <c r="AR165" s="27" t="s">
        <v>94</v>
      </c>
      <c r="AS165" s="27">
        <v>900</v>
      </c>
      <c r="AT165" s="29">
        <v>41</v>
      </c>
      <c r="AU165" s="29" t="s">
        <v>100</v>
      </c>
      <c r="AV165" s="31">
        <v>42</v>
      </c>
      <c r="AW165" s="31" t="s">
        <v>100</v>
      </c>
      <c r="AX165" s="209"/>
      <c r="AY165" s="285"/>
      <c r="AZ165" s="285"/>
      <c r="BA165" s="286"/>
      <c r="BB165" s="286"/>
      <c r="BC165" s="44" t="s">
        <v>204</v>
      </c>
      <c r="BD165" s="33" t="s">
        <v>103</v>
      </c>
      <c r="BE165" s="271" t="s">
        <v>104</v>
      </c>
      <c r="BF165" s="271" t="s">
        <v>105</v>
      </c>
      <c r="BG165" s="269">
        <v>0</v>
      </c>
      <c r="BH165" s="42">
        <v>24000</v>
      </c>
      <c r="BI165" s="47" t="s">
        <v>100</v>
      </c>
      <c r="BJ165" s="32" t="s">
        <v>309</v>
      </c>
      <c r="BK165" s="32">
        <v>500</v>
      </c>
      <c r="BL165" s="26" t="s">
        <v>106</v>
      </c>
      <c r="BM165" s="26" t="s">
        <v>107</v>
      </c>
      <c r="BN165" s="209">
        <v>0</v>
      </c>
      <c r="BO165" s="26" t="s">
        <v>108</v>
      </c>
      <c r="BP165" s="34" t="s">
        <v>109</v>
      </c>
      <c r="BQ165" s="209">
        <v>4000</v>
      </c>
      <c r="BR165" s="26" t="s">
        <v>108</v>
      </c>
      <c r="BS165" s="34" t="s">
        <v>110</v>
      </c>
      <c r="BT165" s="209">
        <v>5500</v>
      </c>
      <c r="BU165" s="211">
        <v>11000</v>
      </c>
      <c r="BV165" s="212" t="s">
        <v>100</v>
      </c>
      <c r="BW165" s="212" t="s">
        <v>286</v>
      </c>
      <c r="BX165" s="213" t="s">
        <v>100</v>
      </c>
      <c r="BY165" s="213" t="s">
        <v>100</v>
      </c>
      <c r="BZ165" s="45">
        <v>2000</v>
      </c>
    </row>
    <row r="166" spans="2:78" ht="26.25" thickBot="1">
      <c r="B166" s="280"/>
      <c r="C166" s="1"/>
      <c r="D166" s="296"/>
      <c r="E166" s="310"/>
      <c r="F166" s="302"/>
      <c r="G166" s="76">
        <v>700</v>
      </c>
      <c r="H166" s="77">
        <v>560</v>
      </c>
      <c r="I166" s="77">
        <v>10000</v>
      </c>
      <c r="J166" s="77">
        <v>10000</v>
      </c>
      <c r="K166" s="77">
        <v>50</v>
      </c>
      <c r="L166" s="77">
        <v>42</v>
      </c>
      <c r="M166" s="85" t="s">
        <v>224</v>
      </c>
      <c r="N166" s="78">
        <v>209449</v>
      </c>
      <c r="O166" s="77" t="s">
        <v>89</v>
      </c>
      <c r="P166" s="77">
        <v>8</v>
      </c>
      <c r="Q166" s="79" t="s">
        <v>198</v>
      </c>
      <c r="R166" s="79" t="s">
        <v>91</v>
      </c>
      <c r="S166" s="79" t="s">
        <v>199</v>
      </c>
      <c r="T166" s="80" t="s">
        <v>92</v>
      </c>
      <c r="U166" s="80" t="s">
        <v>93</v>
      </c>
      <c r="V166" s="77" t="s">
        <v>94</v>
      </c>
      <c r="W166" s="77">
        <v>31</v>
      </c>
      <c r="X166" s="81" t="s">
        <v>95</v>
      </c>
      <c r="Y166" s="81" t="s">
        <v>96</v>
      </c>
      <c r="Z166" s="88">
        <v>6000</v>
      </c>
      <c r="AA166" s="85" t="s">
        <v>205</v>
      </c>
      <c r="AB166" s="88">
        <v>3900</v>
      </c>
      <c r="AC166" s="77" t="s">
        <v>97</v>
      </c>
      <c r="AD166" s="82" t="s">
        <v>97</v>
      </c>
      <c r="AE166" s="35"/>
      <c r="AF166" s="37">
        <v>196882</v>
      </c>
      <c r="AG166" s="29" t="s">
        <v>98</v>
      </c>
      <c r="AH166" s="226">
        <v>19898</v>
      </c>
      <c r="AI166" s="48" t="s">
        <v>225</v>
      </c>
      <c r="AJ166" s="39">
        <v>8000</v>
      </c>
      <c r="AK166" s="39" t="s">
        <v>202</v>
      </c>
      <c r="AL166" s="39">
        <v>4300</v>
      </c>
      <c r="AM166" s="30" t="s">
        <v>94</v>
      </c>
      <c r="AN166" s="40">
        <v>61750</v>
      </c>
      <c r="AO166" s="41" t="s">
        <v>331</v>
      </c>
      <c r="AP166" s="41" t="s">
        <v>332</v>
      </c>
      <c r="AQ166" s="27">
        <v>3000</v>
      </c>
      <c r="AR166" s="27" t="s">
        <v>94</v>
      </c>
      <c r="AS166" s="27">
        <v>900</v>
      </c>
      <c r="AT166" s="29">
        <v>41</v>
      </c>
      <c r="AU166" s="29" t="s">
        <v>100</v>
      </c>
      <c r="AV166" s="31">
        <v>42</v>
      </c>
      <c r="AW166" s="31" t="s">
        <v>100</v>
      </c>
      <c r="AX166" s="209"/>
      <c r="AY166" s="285"/>
      <c r="AZ166" s="285"/>
      <c r="BA166" s="286"/>
      <c r="BB166" s="286"/>
      <c r="BC166" s="44" t="s">
        <v>204</v>
      </c>
      <c r="BD166" s="33" t="s">
        <v>103</v>
      </c>
      <c r="BE166" s="271" t="s">
        <v>104</v>
      </c>
      <c r="BF166" s="271" t="s">
        <v>105</v>
      </c>
      <c r="BG166" s="269">
        <v>0</v>
      </c>
      <c r="BH166" s="42">
        <v>24000</v>
      </c>
      <c r="BI166" s="47" t="s">
        <v>100</v>
      </c>
      <c r="BJ166" s="32" t="s">
        <v>309</v>
      </c>
      <c r="BK166" s="32">
        <v>500</v>
      </c>
      <c r="BL166" s="26" t="s">
        <v>106</v>
      </c>
      <c r="BM166" s="26" t="s">
        <v>107</v>
      </c>
      <c r="BN166" s="209">
        <v>0</v>
      </c>
      <c r="BO166" s="26" t="s">
        <v>108</v>
      </c>
      <c r="BP166" s="34" t="s">
        <v>109</v>
      </c>
      <c r="BQ166" s="209">
        <v>4000</v>
      </c>
      <c r="BR166" s="26" t="s">
        <v>108</v>
      </c>
      <c r="BS166" s="34" t="s">
        <v>110</v>
      </c>
      <c r="BT166" s="209">
        <v>5500</v>
      </c>
      <c r="BU166" s="211">
        <v>11000</v>
      </c>
      <c r="BV166" s="212" t="s">
        <v>100</v>
      </c>
      <c r="BW166" s="212" t="s">
        <v>286</v>
      </c>
      <c r="BX166" s="213" t="s">
        <v>100</v>
      </c>
      <c r="BY166" s="213" t="s">
        <v>100</v>
      </c>
      <c r="BZ166" s="45">
        <v>2000</v>
      </c>
    </row>
    <row r="167" spans="2:78" ht="25.5">
      <c r="B167" s="280"/>
      <c r="C167" s="1"/>
      <c r="D167" s="296"/>
      <c r="E167" s="310"/>
      <c r="F167" s="302"/>
      <c r="G167" s="67">
        <v>750</v>
      </c>
      <c r="H167" s="68">
        <v>600</v>
      </c>
      <c r="I167" s="68">
        <v>10000</v>
      </c>
      <c r="J167" s="68">
        <v>10000</v>
      </c>
      <c r="K167" s="68">
        <v>50</v>
      </c>
      <c r="L167" s="68">
        <v>45</v>
      </c>
      <c r="M167" s="103" t="s">
        <v>225</v>
      </c>
      <c r="N167" s="69">
        <v>210192</v>
      </c>
      <c r="O167" s="68" t="s">
        <v>89</v>
      </c>
      <c r="P167" s="68">
        <v>8</v>
      </c>
      <c r="Q167" s="70" t="s">
        <v>198</v>
      </c>
      <c r="R167" s="70" t="s">
        <v>91</v>
      </c>
      <c r="S167" s="70" t="s">
        <v>199</v>
      </c>
      <c r="T167" s="71" t="s">
        <v>92</v>
      </c>
      <c r="U167" s="71" t="s">
        <v>93</v>
      </c>
      <c r="V167" s="68" t="s">
        <v>94</v>
      </c>
      <c r="W167" s="68">
        <v>31</v>
      </c>
      <c r="X167" s="72" t="s">
        <v>95</v>
      </c>
      <c r="Y167" s="72" t="s">
        <v>96</v>
      </c>
      <c r="Z167" s="104">
        <v>8000</v>
      </c>
      <c r="AA167" s="103" t="s">
        <v>202</v>
      </c>
      <c r="AB167" s="104">
        <v>4300</v>
      </c>
      <c r="AC167" s="68" t="s">
        <v>97</v>
      </c>
      <c r="AD167" s="73" t="s">
        <v>97</v>
      </c>
      <c r="AE167" s="35"/>
      <c r="AF167" s="37">
        <v>197580</v>
      </c>
      <c r="AG167" s="29" t="s">
        <v>98</v>
      </c>
      <c r="AH167" s="226">
        <v>19968</v>
      </c>
      <c r="AI167" s="48" t="s">
        <v>225</v>
      </c>
      <c r="AJ167" s="39">
        <v>8000</v>
      </c>
      <c r="AK167" s="39" t="s">
        <v>202</v>
      </c>
      <c r="AL167" s="39">
        <v>4300</v>
      </c>
      <c r="AM167" s="30" t="s">
        <v>94</v>
      </c>
      <c r="AN167" s="40">
        <v>61750</v>
      </c>
      <c r="AO167" s="41" t="s">
        <v>331</v>
      </c>
      <c r="AP167" s="41" t="s">
        <v>332</v>
      </c>
      <c r="AQ167" s="27">
        <v>3000</v>
      </c>
      <c r="AR167" s="27" t="s">
        <v>94</v>
      </c>
      <c r="AS167" s="27">
        <v>900</v>
      </c>
      <c r="AT167" s="29">
        <v>41</v>
      </c>
      <c r="AU167" s="29" t="s">
        <v>100</v>
      </c>
      <c r="AV167" s="31">
        <v>42</v>
      </c>
      <c r="AW167" s="31" t="s">
        <v>100</v>
      </c>
      <c r="AX167" s="209"/>
      <c r="AY167" s="285"/>
      <c r="AZ167" s="285"/>
      <c r="BA167" s="286"/>
      <c r="BB167" s="286"/>
      <c r="BC167" s="44" t="s">
        <v>204</v>
      </c>
      <c r="BD167" s="33" t="s">
        <v>103</v>
      </c>
      <c r="BE167" s="271" t="s">
        <v>104</v>
      </c>
      <c r="BF167" s="271" t="s">
        <v>105</v>
      </c>
      <c r="BG167" s="269">
        <v>0</v>
      </c>
      <c r="BH167" s="42">
        <v>24000</v>
      </c>
      <c r="BI167" s="47" t="s">
        <v>100</v>
      </c>
      <c r="BJ167" s="32" t="s">
        <v>309</v>
      </c>
      <c r="BK167" s="32">
        <v>500</v>
      </c>
      <c r="BL167" s="26" t="s">
        <v>106</v>
      </c>
      <c r="BM167" s="26" t="s">
        <v>107</v>
      </c>
      <c r="BN167" s="209">
        <v>0</v>
      </c>
      <c r="BO167" s="26" t="s">
        <v>108</v>
      </c>
      <c r="BP167" s="34" t="s">
        <v>109</v>
      </c>
      <c r="BQ167" s="209">
        <v>4000</v>
      </c>
      <c r="BR167" s="26" t="s">
        <v>108</v>
      </c>
      <c r="BS167" s="34" t="s">
        <v>110</v>
      </c>
      <c r="BT167" s="209">
        <v>5500</v>
      </c>
      <c r="BU167" s="211">
        <v>11000</v>
      </c>
      <c r="BV167" s="212" t="s">
        <v>100</v>
      </c>
      <c r="BW167" s="212" t="s">
        <v>286</v>
      </c>
      <c r="BX167" s="213" t="s">
        <v>100</v>
      </c>
      <c r="BY167" s="213" t="s">
        <v>100</v>
      </c>
      <c r="BZ167" s="45">
        <v>2000</v>
      </c>
    </row>
    <row r="168" spans="2:78" ht="25.5">
      <c r="B168" s="280"/>
      <c r="C168" s="1"/>
      <c r="D168" s="296"/>
      <c r="E168" s="310"/>
      <c r="F168" s="302"/>
      <c r="G168" s="74">
        <v>790</v>
      </c>
      <c r="H168" s="62">
        <v>630</v>
      </c>
      <c r="I168" s="62">
        <v>10000</v>
      </c>
      <c r="J168" s="62">
        <v>10000</v>
      </c>
      <c r="K168" s="62">
        <v>50</v>
      </c>
      <c r="L168" s="62">
        <v>47</v>
      </c>
      <c r="M168" s="101" t="s">
        <v>225</v>
      </c>
      <c r="N168" s="63">
        <v>211601</v>
      </c>
      <c r="O168" s="62" t="s">
        <v>89</v>
      </c>
      <c r="P168" s="62">
        <v>8</v>
      </c>
      <c r="Q168" s="64" t="s">
        <v>198</v>
      </c>
      <c r="R168" s="64" t="s">
        <v>91</v>
      </c>
      <c r="S168" s="64" t="s">
        <v>199</v>
      </c>
      <c r="T168" s="65" t="s">
        <v>92</v>
      </c>
      <c r="U168" s="65" t="s">
        <v>93</v>
      </c>
      <c r="V168" s="62" t="s">
        <v>94</v>
      </c>
      <c r="W168" s="62">
        <v>31</v>
      </c>
      <c r="X168" s="66" t="s">
        <v>95</v>
      </c>
      <c r="Y168" s="66" t="s">
        <v>96</v>
      </c>
      <c r="Z168" s="102">
        <v>8000</v>
      </c>
      <c r="AA168" s="101" t="s">
        <v>202</v>
      </c>
      <c r="AB168" s="102">
        <v>4300</v>
      </c>
      <c r="AC168" s="62" t="s">
        <v>97</v>
      </c>
      <c r="AD168" s="75" t="s">
        <v>97</v>
      </c>
      <c r="AE168" s="35"/>
      <c r="AF168" s="37">
        <v>198905</v>
      </c>
      <c r="AG168" s="29" t="s">
        <v>98</v>
      </c>
      <c r="AH168" s="226">
        <v>20102</v>
      </c>
      <c r="AI168" s="48" t="s">
        <v>225</v>
      </c>
      <c r="AJ168" s="39">
        <v>8000</v>
      </c>
      <c r="AK168" s="39" t="s">
        <v>202</v>
      </c>
      <c r="AL168" s="39">
        <v>4300</v>
      </c>
      <c r="AM168" s="30" t="s">
        <v>94</v>
      </c>
      <c r="AN168" s="40">
        <v>61750</v>
      </c>
      <c r="AO168" s="41" t="s">
        <v>331</v>
      </c>
      <c r="AP168" s="41" t="s">
        <v>332</v>
      </c>
      <c r="AQ168" s="27">
        <v>3000</v>
      </c>
      <c r="AR168" s="27" t="s">
        <v>94</v>
      </c>
      <c r="AS168" s="27">
        <v>900</v>
      </c>
      <c r="AT168" s="29">
        <v>41</v>
      </c>
      <c r="AU168" s="29" t="s">
        <v>100</v>
      </c>
      <c r="AV168" s="31">
        <v>42</v>
      </c>
      <c r="AW168" s="31" t="s">
        <v>100</v>
      </c>
      <c r="AX168" s="209"/>
      <c r="AY168" s="285"/>
      <c r="AZ168" s="285"/>
      <c r="BA168" s="286"/>
      <c r="BB168" s="286"/>
      <c r="BC168" s="44" t="s">
        <v>204</v>
      </c>
      <c r="BD168" s="33" t="s">
        <v>103</v>
      </c>
      <c r="BE168" s="271" t="s">
        <v>104</v>
      </c>
      <c r="BF168" s="271" t="s">
        <v>105</v>
      </c>
      <c r="BG168" s="269">
        <v>0</v>
      </c>
      <c r="BH168" s="42">
        <v>24000</v>
      </c>
      <c r="BI168" s="47" t="s">
        <v>100</v>
      </c>
      <c r="BJ168" s="32" t="s">
        <v>309</v>
      </c>
      <c r="BK168" s="32">
        <v>500</v>
      </c>
      <c r="BL168" s="26" t="s">
        <v>106</v>
      </c>
      <c r="BM168" s="26" t="s">
        <v>107</v>
      </c>
      <c r="BN168" s="209">
        <v>0</v>
      </c>
      <c r="BO168" s="26" t="s">
        <v>108</v>
      </c>
      <c r="BP168" s="34" t="s">
        <v>109</v>
      </c>
      <c r="BQ168" s="209">
        <v>4000</v>
      </c>
      <c r="BR168" s="26" t="s">
        <v>108</v>
      </c>
      <c r="BS168" s="34" t="s">
        <v>110</v>
      </c>
      <c r="BT168" s="209">
        <v>5500</v>
      </c>
      <c r="BU168" s="211">
        <v>11000</v>
      </c>
      <c r="BV168" s="212" t="s">
        <v>100</v>
      </c>
      <c r="BW168" s="212" t="s">
        <v>286</v>
      </c>
      <c r="BX168" s="213" t="s">
        <v>100</v>
      </c>
      <c r="BY168" s="213" t="s">
        <v>100</v>
      </c>
      <c r="BZ168" s="45">
        <v>2000</v>
      </c>
    </row>
    <row r="169" spans="2:78" ht="25.5">
      <c r="B169" s="280"/>
      <c r="C169" s="1"/>
      <c r="D169" s="296"/>
      <c r="E169" s="310"/>
      <c r="F169" s="302"/>
      <c r="G169" s="74">
        <v>840</v>
      </c>
      <c r="H169" s="62">
        <v>670</v>
      </c>
      <c r="I169" s="62">
        <v>10000</v>
      </c>
      <c r="J169" s="62">
        <v>10000</v>
      </c>
      <c r="K169" s="62">
        <v>50</v>
      </c>
      <c r="L169" s="62">
        <v>49</v>
      </c>
      <c r="M169" s="101" t="s">
        <v>225</v>
      </c>
      <c r="N169" s="63">
        <v>214580</v>
      </c>
      <c r="O169" s="62" t="s">
        <v>89</v>
      </c>
      <c r="P169" s="62">
        <v>8</v>
      </c>
      <c r="Q169" s="64" t="s">
        <v>198</v>
      </c>
      <c r="R169" s="64" t="s">
        <v>91</v>
      </c>
      <c r="S169" s="64" t="s">
        <v>199</v>
      </c>
      <c r="T169" s="65" t="s">
        <v>92</v>
      </c>
      <c r="U169" s="65" t="s">
        <v>93</v>
      </c>
      <c r="V169" s="62" t="s">
        <v>94</v>
      </c>
      <c r="W169" s="62">
        <v>31</v>
      </c>
      <c r="X169" s="66" t="s">
        <v>95</v>
      </c>
      <c r="Y169" s="66" t="s">
        <v>96</v>
      </c>
      <c r="Z169" s="102">
        <v>8000</v>
      </c>
      <c r="AA169" s="101" t="s">
        <v>202</v>
      </c>
      <c r="AB169" s="102">
        <v>4300</v>
      </c>
      <c r="AC169" s="62" t="s">
        <v>97</v>
      </c>
      <c r="AD169" s="75" t="s">
        <v>97</v>
      </c>
      <c r="AE169" s="35"/>
      <c r="AF169" s="37">
        <v>201705</v>
      </c>
      <c r="AG169" s="29" t="s">
        <v>98</v>
      </c>
      <c r="AH169" s="226">
        <v>20385</v>
      </c>
      <c r="AI169" s="48" t="s">
        <v>225</v>
      </c>
      <c r="AJ169" s="39">
        <v>8000</v>
      </c>
      <c r="AK169" s="39" t="s">
        <v>202</v>
      </c>
      <c r="AL169" s="39">
        <v>4300</v>
      </c>
      <c r="AM169" s="30" t="s">
        <v>94</v>
      </c>
      <c r="AN169" s="40">
        <v>61750</v>
      </c>
      <c r="AO169" s="41" t="s">
        <v>331</v>
      </c>
      <c r="AP169" s="41" t="s">
        <v>332</v>
      </c>
      <c r="AQ169" s="27">
        <v>3000</v>
      </c>
      <c r="AR169" s="27" t="s">
        <v>94</v>
      </c>
      <c r="AS169" s="27">
        <v>900</v>
      </c>
      <c r="AT169" s="29">
        <v>41</v>
      </c>
      <c r="AU169" s="29" t="s">
        <v>100</v>
      </c>
      <c r="AV169" s="31">
        <v>42</v>
      </c>
      <c r="AW169" s="31" t="s">
        <v>100</v>
      </c>
      <c r="AX169" s="209"/>
      <c r="AY169" s="285"/>
      <c r="AZ169" s="285"/>
      <c r="BA169" s="286"/>
      <c r="BB169" s="286"/>
      <c r="BC169" s="44" t="s">
        <v>204</v>
      </c>
      <c r="BD169" s="33" t="s">
        <v>103</v>
      </c>
      <c r="BE169" s="271" t="s">
        <v>104</v>
      </c>
      <c r="BF169" s="271" t="s">
        <v>105</v>
      </c>
      <c r="BG169" s="269">
        <v>0</v>
      </c>
      <c r="BH169" s="42">
        <v>24000</v>
      </c>
      <c r="BI169" s="47" t="s">
        <v>100</v>
      </c>
      <c r="BJ169" s="32" t="s">
        <v>309</v>
      </c>
      <c r="BK169" s="32">
        <v>500</v>
      </c>
      <c r="BL169" s="26" t="s">
        <v>106</v>
      </c>
      <c r="BM169" s="26" t="s">
        <v>107</v>
      </c>
      <c r="BN169" s="209">
        <v>0</v>
      </c>
      <c r="BO169" s="26" t="s">
        <v>108</v>
      </c>
      <c r="BP169" s="34" t="s">
        <v>109</v>
      </c>
      <c r="BQ169" s="209">
        <v>4000</v>
      </c>
      <c r="BR169" s="26" t="s">
        <v>108</v>
      </c>
      <c r="BS169" s="34" t="s">
        <v>110</v>
      </c>
      <c r="BT169" s="209">
        <v>5500</v>
      </c>
      <c r="BU169" s="211">
        <v>11000</v>
      </c>
      <c r="BV169" s="212" t="s">
        <v>100</v>
      </c>
      <c r="BW169" s="212" t="s">
        <v>286</v>
      </c>
      <c r="BX169" s="213" t="s">
        <v>100</v>
      </c>
      <c r="BY169" s="213" t="s">
        <v>100</v>
      </c>
      <c r="BZ169" s="45">
        <v>2000</v>
      </c>
    </row>
    <row r="170" spans="2:78" ht="25.5">
      <c r="B170" s="280"/>
      <c r="C170" s="1"/>
      <c r="D170" s="296"/>
      <c r="E170" s="310"/>
      <c r="F170" s="302"/>
      <c r="G170" s="74">
        <v>890</v>
      </c>
      <c r="H170" s="62">
        <v>710</v>
      </c>
      <c r="I170" s="62">
        <v>10000</v>
      </c>
      <c r="J170" s="62">
        <v>10000</v>
      </c>
      <c r="K170" s="62">
        <v>50</v>
      </c>
      <c r="L170" s="62">
        <v>53</v>
      </c>
      <c r="M170" s="101" t="s">
        <v>225</v>
      </c>
      <c r="N170" s="63">
        <v>214894</v>
      </c>
      <c r="O170" s="62" t="s">
        <v>89</v>
      </c>
      <c r="P170" s="62">
        <v>8</v>
      </c>
      <c r="Q170" s="64" t="s">
        <v>198</v>
      </c>
      <c r="R170" s="64" t="s">
        <v>91</v>
      </c>
      <c r="S170" s="64" t="s">
        <v>199</v>
      </c>
      <c r="T170" s="65" t="s">
        <v>92</v>
      </c>
      <c r="U170" s="65" t="s">
        <v>93</v>
      </c>
      <c r="V170" s="62" t="s">
        <v>94</v>
      </c>
      <c r="W170" s="62">
        <v>31</v>
      </c>
      <c r="X170" s="66" t="s">
        <v>95</v>
      </c>
      <c r="Y170" s="66" t="s">
        <v>96</v>
      </c>
      <c r="Z170" s="102">
        <v>8000</v>
      </c>
      <c r="AA170" s="101" t="s">
        <v>202</v>
      </c>
      <c r="AB170" s="102">
        <v>4300</v>
      </c>
      <c r="AC170" s="62" t="s">
        <v>97</v>
      </c>
      <c r="AD170" s="75" t="s">
        <v>97</v>
      </c>
      <c r="AE170" s="35"/>
      <c r="AF170" s="37">
        <v>202000</v>
      </c>
      <c r="AG170" s="29" t="s">
        <v>98</v>
      </c>
      <c r="AH170" s="226">
        <v>20415</v>
      </c>
      <c r="AI170" s="48" t="s">
        <v>225</v>
      </c>
      <c r="AJ170" s="39">
        <v>8000</v>
      </c>
      <c r="AK170" s="39" t="s">
        <v>202</v>
      </c>
      <c r="AL170" s="39">
        <v>4300</v>
      </c>
      <c r="AM170" s="30" t="s">
        <v>94</v>
      </c>
      <c r="AN170" s="40">
        <v>61750</v>
      </c>
      <c r="AO170" s="41" t="s">
        <v>331</v>
      </c>
      <c r="AP170" s="41" t="s">
        <v>332</v>
      </c>
      <c r="AQ170" s="27">
        <v>3000</v>
      </c>
      <c r="AR170" s="27" t="s">
        <v>94</v>
      </c>
      <c r="AS170" s="27">
        <v>900</v>
      </c>
      <c r="AT170" s="29">
        <v>41</v>
      </c>
      <c r="AU170" s="29" t="s">
        <v>100</v>
      </c>
      <c r="AV170" s="31">
        <v>42</v>
      </c>
      <c r="AW170" s="31" t="s">
        <v>100</v>
      </c>
      <c r="AX170" s="209"/>
      <c r="AY170" s="285"/>
      <c r="AZ170" s="285"/>
      <c r="BA170" s="286"/>
      <c r="BB170" s="286"/>
      <c r="BC170" s="44" t="s">
        <v>204</v>
      </c>
      <c r="BD170" s="33" t="s">
        <v>103</v>
      </c>
      <c r="BE170" s="271" t="s">
        <v>104</v>
      </c>
      <c r="BF170" s="271" t="s">
        <v>105</v>
      </c>
      <c r="BG170" s="269">
        <v>0</v>
      </c>
      <c r="BH170" s="42">
        <v>24000</v>
      </c>
      <c r="BI170" s="47" t="s">
        <v>100</v>
      </c>
      <c r="BJ170" s="32" t="s">
        <v>309</v>
      </c>
      <c r="BK170" s="32">
        <v>500</v>
      </c>
      <c r="BL170" s="26" t="s">
        <v>106</v>
      </c>
      <c r="BM170" s="26" t="s">
        <v>107</v>
      </c>
      <c r="BN170" s="209">
        <v>0</v>
      </c>
      <c r="BO170" s="26" t="s">
        <v>108</v>
      </c>
      <c r="BP170" s="34" t="s">
        <v>109</v>
      </c>
      <c r="BQ170" s="209">
        <v>4000</v>
      </c>
      <c r="BR170" s="26" t="s">
        <v>108</v>
      </c>
      <c r="BS170" s="34" t="s">
        <v>110</v>
      </c>
      <c r="BT170" s="209">
        <v>5500</v>
      </c>
      <c r="BU170" s="211">
        <v>11000</v>
      </c>
      <c r="BV170" s="212" t="s">
        <v>100</v>
      </c>
      <c r="BW170" s="212" t="s">
        <v>286</v>
      </c>
      <c r="BX170" s="213" t="s">
        <v>100</v>
      </c>
      <c r="BY170" s="213" t="s">
        <v>100</v>
      </c>
      <c r="BZ170" s="45">
        <v>2000</v>
      </c>
    </row>
    <row r="171" spans="2:78" ht="25.5">
      <c r="B171" s="280"/>
      <c r="C171" s="1"/>
      <c r="D171" s="296"/>
      <c r="E171" s="310"/>
      <c r="F171" s="302"/>
      <c r="G171" s="174">
        <v>940</v>
      </c>
      <c r="H171" s="62">
        <v>750</v>
      </c>
      <c r="I171" s="62">
        <v>10000</v>
      </c>
      <c r="J171" s="62">
        <v>10000</v>
      </c>
      <c r="K171" s="62">
        <v>50</v>
      </c>
      <c r="L171" s="62">
        <v>56</v>
      </c>
      <c r="M171" s="101" t="s">
        <v>225</v>
      </c>
      <c r="N171" s="63">
        <v>227359</v>
      </c>
      <c r="O171" s="62" t="s">
        <v>89</v>
      </c>
      <c r="P171" s="62">
        <v>8</v>
      </c>
      <c r="Q171" s="64" t="s">
        <v>198</v>
      </c>
      <c r="R171" s="64" t="s">
        <v>91</v>
      </c>
      <c r="S171" s="64" t="s">
        <v>199</v>
      </c>
      <c r="T171" s="65" t="s">
        <v>92</v>
      </c>
      <c r="U171" s="65" t="s">
        <v>93</v>
      </c>
      <c r="V171" s="62" t="s">
        <v>94</v>
      </c>
      <c r="W171" s="62">
        <v>31</v>
      </c>
      <c r="X171" s="66" t="s">
        <v>95</v>
      </c>
      <c r="Y171" s="66" t="s">
        <v>96</v>
      </c>
      <c r="Z171" s="102">
        <v>8000</v>
      </c>
      <c r="AA171" s="101" t="s">
        <v>202</v>
      </c>
      <c r="AB171" s="102">
        <v>4300</v>
      </c>
      <c r="AC171" s="62" t="s">
        <v>97</v>
      </c>
      <c r="AD171" s="75" t="s">
        <v>97</v>
      </c>
      <c r="AE171" s="35"/>
      <c r="AF171" s="37">
        <v>213717</v>
      </c>
      <c r="AG171" s="29" t="s">
        <v>98</v>
      </c>
      <c r="AH171" s="226">
        <v>21599</v>
      </c>
      <c r="AI171" s="48" t="s">
        <v>225</v>
      </c>
      <c r="AJ171" s="39">
        <v>8000</v>
      </c>
      <c r="AK171" s="39" t="s">
        <v>202</v>
      </c>
      <c r="AL171" s="39">
        <v>4300</v>
      </c>
      <c r="AM171" s="30" t="s">
        <v>94</v>
      </c>
      <c r="AN171" s="40">
        <v>61750</v>
      </c>
      <c r="AO171" s="41" t="s">
        <v>331</v>
      </c>
      <c r="AP171" s="41" t="s">
        <v>332</v>
      </c>
      <c r="AQ171" s="27">
        <v>3000</v>
      </c>
      <c r="AR171" s="27" t="s">
        <v>94</v>
      </c>
      <c r="AS171" s="27">
        <v>900</v>
      </c>
      <c r="AT171" s="29">
        <v>41</v>
      </c>
      <c r="AU171" s="29" t="s">
        <v>100</v>
      </c>
      <c r="AV171" s="31">
        <v>42</v>
      </c>
      <c r="AW171" s="31" t="s">
        <v>100</v>
      </c>
      <c r="AX171" s="209"/>
      <c r="AY171" s="285"/>
      <c r="AZ171" s="285"/>
      <c r="BA171" s="286"/>
      <c r="BB171" s="286"/>
      <c r="BC171" s="44" t="s">
        <v>204</v>
      </c>
      <c r="BD171" s="33" t="s">
        <v>103</v>
      </c>
      <c r="BE171" s="271" t="s">
        <v>104</v>
      </c>
      <c r="BF171" s="271" t="s">
        <v>105</v>
      </c>
      <c r="BG171" s="269">
        <v>0</v>
      </c>
      <c r="BH171" s="42">
        <v>24000</v>
      </c>
      <c r="BI171" s="47" t="s">
        <v>100</v>
      </c>
      <c r="BJ171" s="32" t="s">
        <v>309</v>
      </c>
      <c r="BK171" s="32">
        <v>500</v>
      </c>
      <c r="BL171" s="26" t="s">
        <v>106</v>
      </c>
      <c r="BM171" s="26" t="s">
        <v>107</v>
      </c>
      <c r="BN171" s="209">
        <v>0</v>
      </c>
      <c r="BO171" s="26" t="s">
        <v>108</v>
      </c>
      <c r="BP171" s="34" t="s">
        <v>109</v>
      </c>
      <c r="BQ171" s="209">
        <v>4000</v>
      </c>
      <c r="BR171" s="26" t="s">
        <v>108</v>
      </c>
      <c r="BS171" s="34" t="s">
        <v>110</v>
      </c>
      <c r="BT171" s="209">
        <v>5500</v>
      </c>
      <c r="BU171" s="211">
        <v>11000</v>
      </c>
      <c r="BV171" s="212" t="s">
        <v>100</v>
      </c>
      <c r="BW171" s="212" t="s">
        <v>286</v>
      </c>
      <c r="BX171" s="213" t="s">
        <v>100</v>
      </c>
      <c r="BY171" s="213" t="s">
        <v>100</v>
      </c>
      <c r="BZ171" s="45">
        <v>2000</v>
      </c>
    </row>
    <row r="172" spans="2:78" ht="25.5">
      <c r="B172" s="280"/>
      <c r="C172" s="1"/>
      <c r="D172" s="296"/>
      <c r="E172" s="310"/>
      <c r="F172" s="302"/>
      <c r="G172" s="174">
        <v>1000</v>
      </c>
      <c r="H172" s="62">
        <v>800</v>
      </c>
      <c r="I172" s="62">
        <v>10000</v>
      </c>
      <c r="J172" s="62">
        <v>10000</v>
      </c>
      <c r="K172" s="62">
        <v>50</v>
      </c>
      <c r="L172" s="62">
        <v>58</v>
      </c>
      <c r="M172" s="101" t="s">
        <v>225</v>
      </c>
      <c r="N172" s="63">
        <v>230862</v>
      </c>
      <c r="O172" s="62" t="s">
        <v>89</v>
      </c>
      <c r="P172" s="62">
        <v>8</v>
      </c>
      <c r="Q172" s="64" t="s">
        <v>198</v>
      </c>
      <c r="R172" s="64" t="s">
        <v>91</v>
      </c>
      <c r="S172" s="64" t="s">
        <v>199</v>
      </c>
      <c r="T172" s="65" t="s">
        <v>92</v>
      </c>
      <c r="U172" s="65" t="s">
        <v>93</v>
      </c>
      <c r="V172" s="62" t="s">
        <v>94</v>
      </c>
      <c r="W172" s="62">
        <v>31</v>
      </c>
      <c r="X172" s="66" t="s">
        <v>95</v>
      </c>
      <c r="Y172" s="66" t="s">
        <v>96</v>
      </c>
      <c r="Z172" s="102">
        <v>8000</v>
      </c>
      <c r="AA172" s="101" t="s">
        <v>202</v>
      </c>
      <c r="AB172" s="102">
        <v>4300</v>
      </c>
      <c r="AC172" s="62" t="s">
        <v>97</v>
      </c>
      <c r="AD172" s="75" t="s">
        <v>97</v>
      </c>
      <c r="AE172" s="35"/>
      <c r="AF172" s="37">
        <v>217010</v>
      </c>
      <c r="AG172" s="29" t="s">
        <v>98</v>
      </c>
      <c r="AH172" s="226">
        <v>21932</v>
      </c>
      <c r="AI172" s="48" t="s">
        <v>225</v>
      </c>
      <c r="AJ172" s="39">
        <v>8000</v>
      </c>
      <c r="AK172" s="39" t="s">
        <v>202</v>
      </c>
      <c r="AL172" s="39">
        <v>4300</v>
      </c>
      <c r="AM172" s="30" t="s">
        <v>94</v>
      </c>
      <c r="AN172" s="40">
        <v>61750</v>
      </c>
      <c r="AO172" s="41" t="s">
        <v>331</v>
      </c>
      <c r="AP172" s="41" t="s">
        <v>332</v>
      </c>
      <c r="AQ172" s="27">
        <v>3000</v>
      </c>
      <c r="AR172" s="27" t="s">
        <v>94</v>
      </c>
      <c r="AS172" s="27">
        <v>900</v>
      </c>
      <c r="AT172" s="29">
        <v>41</v>
      </c>
      <c r="AU172" s="29" t="s">
        <v>100</v>
      </c>
      <c r="AV172" s="31">
        <v>42</v>
      </c>
      <c r="AW172" s="31" t="s">
        <v>100</v>
      </c>
      <c r="AX172" s="209"/>
      <c r="AY172" s="285"/>
      <c r="AZ172" s="285"/>
      <c r="BA172" s="286"/>
      <c r="BB172" s="286"/>
      <c r="BC172" s="44" t="s">
        <v>204</v>
      </c>
      <c r="BD172" s="33" t="s">
        <v>103</v>
      </c>
      <c r="BE172" s="271" t="s">
        <v>104</v>
      </c>
      <c r="BF172" s="271" t="s">
        <v>105</v>
      </c>
      <c r="BG172" s="269">
        <v>0</v>
      </c>
      <c r="BH172" s="42">
        <v>24000</v>
      </c>
      <c r="BI172" s="47" t="s">
        <v>100</v>
      </c>
      <c r="BJ172" s="32" t="s">
        <v>309</v>
      </c>
      <c r="BK172" s="32">
        <v>500</v>
      </c>
      <c r="BL172" s="26" t="s">
        <v>106</v>
      </c>
      <c r="BM172" s="26" t="s">
        <v>107</v>
      </c>
      <c r="BN172" s="209">
        <v>0</v>
      </c>
      <c r="BO172" s="26" t="s">
        <v>108</v>
      </c>
      <c r="BP172" s="34" t="s">
        <v>109</v>
      </c>
      <c r="BQ172" s="209">
        <v>4000</v>
      </c>
      <c r="BR172" s="26" t="s">
        <v>108</v>
      </c>
      <c r="BS172" s="34" t="s">
        <v>110</v>
      </c>
      <c r="BT172" s="209">
        <v>5500</v>
      </c>
      <c r="BU172" s="211">
        <v>11000</v>
      </c>
      <c r="BV172" s="212" t="s">
        <v>100</v>
      </c>
      <c r="BW172" s="212" t="s">
        <v>286</v>
      </c>
      <c r="BX172" s="213" t="s">
        <v>100</v>
      </c>
      <c r="BY172" s="213" t="s">
        <v>100</v>
      </c>
      <c r="BZ172" s="45">
        <v>2000</v>
      </c>
    </row>
    <row r="173" spans="2:78" ht="25.5">
      <c r="B173" s="280"/>
      <c r="C173" s="1"/>
      <c r="D173" s="296"/>
      <c r="E173" s="310"/>
      <c r="F173" s="302"/>
      <c r="G173" s="174">
        <v>1065</v>
      </c>
      <c r="H173" s="62">
        <v>850</v>
      </c>
      <c r="I173" s="62">
        <v>10000</v>
      </c>
      <c r="J173" s="62">
        <v>10000</v>
      </c>
      <c r="K173" s="62">
        <v>50</v>
      </c>
      <c r="L173" s="62">
        <v>62</v>
      </c>
      <c r="M173" s="101" t="s">
        <v>225</v>
      </c>
      <c r="N173" s="63">
        <v>234174</v>
      </c>
      <c r="O173" s="62" t="s">
        <v>89</v>
      </c>
      <c r="P173" s="62">
        <v>8</v>
      </c>
      <c r="Q173" s="64" t="s">
        <v>198</v>
      </c>
      <c r="R173" s="64" t="s">
        <v>91</v>
      </c>
      <c r="S173" s="64" t="s">
        <v>199</v>
      </c>
      <c r="T173" s="65" t="s">
        <v>92</v>
      </c>
      <c r="U173" s="65" t="s">
        <v>93</v>
      </c>
      <c r="V173" s="62" t="s">
        <v>94</v>
      </c>
      <c r="W173" s="62">
        <v>31</v>
      </c>
      <c r="X173" s="66" t="s">
        <v>95</v>
      </c>
      <c r="Y173" s="66" t="s">
        <v>96</v>
      </c>
      <c r="Z173" s="102">
        <v>8000</v>
      </c>
      <c r="AA173" s="101" t="s">
        <v>202</v>
      </c>
      <c r="AB173" s="102">
        <v>4300</v>
      </c>
      <c r="AC173" s="62" t="s">
        <v>97</v>
      </c>
      <c r="AD173" s="75" t="s">
        <v>97</v>
      </c>
      <c r="AE173" s="35"/>
      <c r="AF173" s="37">
        <v>220124</v>
      </c>
      <c r="AG173" s="29" t="s">
        <v>98</v>
      </c>
      <c r="AH173" s="226">
        <v>22247</v>
      </c>
      <c r="AI173" s="48" t="s">
        <v>225</v>
      </c>
      <c r="AJ173" s="39">
        <v>8000</v>
      </c>
      <c r="AK173" s="39" t="s">
        <v>202</v>
      </c>
      <c r="AL173" s="39">
        <v>4300</v>
      </c>
      <c r="AM173" s="30" t="s">
        <v>94</v>
      </c>
      <c r="AN173" s="40">
        <v>61750</v>
      </c>
      <c r="AO173" s="41" t="s">
        <v>331</v>
      </c>
      <c r="AP173" s="41" t="s">
        <v>332</v>
      </c>
      <c r="AQ173" s="27">
        <v>3000</v>
      </c>
      <c r="AR173" s="27" t="s">
        <v>94</v>
      </c>
      <c r="AS173" s="27">
        <v>900</v>
      </c>
      <c r="AT173" s="29">
        <v>41</v>
      </c>
      <c r="AU173" s="29" t="s">
        <v>100</v>
      </c>
      <c r="AV173" s="31">
        <v>42</v>
      </c>
      <c r="AW173" s="31" t="s">
        <v>100</v>
      </c>
      <c r="AX173" s="209"/>
      <c r="AY173" s="285"/>
      <c r="AZ173" s="285"/>
      <c r="BA173" s="286"/>
      <c r="BB173" s="286"/>
      <c r="BC173" s="44" t="s">
        <v>204</v>
      </c>
      <c r="BD173" s="33" t="s">
        <v>103</v>
      </c>
      <c r="BE173" s="271" t="s">
        <v>104</v>
      </c>
      <c r="BF173" s="271" t="s">
        <v>105</v>
      </c>
      <c r="BG173" s="269">
        <v>0</v>
      </c>
      <c r="BH173" s="42">
        <v>24000</v>
      </c>
      <c r="BI173" s="47" t="s">
        <v>100</v>
      </c>
      <c r="BJ173" s="32" t="s">
        <v>309</v>
      </c>
      <c r="BK173" s="32">
        <v>500</v>
      </c>
      <c r="BL173" s="26" t="s">
        <v>106</v>
      </c>
      <c r="BM173" s="26" t="s">
        <v>107</v>
      </c>
      <c r="BN173" s="209">
        <v>0</v>
      </c>
      <c r="BO173" s="26" t="s">
        <v>108</v>
      </c>
      <c r="BP173" s="34" t="s">
        <v>109</v>
      </c>
      <c r="BQ173" s="209">
        <v>4000</v>
      </c>
      <c r="BR173" s="26" t="s">
        <v>108</v>
      </c>
      <c r="BS173" s="34" t="s">
        <v>110</v>
      </c>
      <c r="BT173" s="209">
        <v>5500</v>
      </c>
      <c r="BU173" s="211">
        <v>11000</v>
      </c>
      <c r="BV173" s="212" t="s">
        <v>100</v>
      </c>
      <c r="BW173" s="212" t="s">
        <v>286</v>
      </c>
      <c r="BX173" s="213" t="s">
        <v>100</v>
      </c>
      <c r="BY173" s="213" t="s">
        <v>100</v>
      </c>
      <c r="BZ173" s="45">
        <v>2000</v>
      </c>
    </row>
    <row r="174" spans="2:78" ht="25.5">
      <c r="B174" s="280"/>
      <c r="C174" s="1"/>
      <c r="D174" s="296"/>
      <c r="E174" s="310"/>
      <c r="F174" s="302"/>
      <c r="G174" s="174">
        <v>1125</v>
      </c>
      <c r="H174" s="62">
        <v>900</v>
      </c>
      <c r="I174" s="62">
        <v>10000</v>
      </c>
      <c r="J174" s="62">
        <v>10000</v>
      </c>
      <c r="K174" s="62">
        <v>50</v>
      </c>
      <c r="L174" s="62">
        <v>66</v>
      </c>
      <c r="M174" s="101" t="s">
        <v>225</v>
      </c>
      <c r="N174" s="63">
        <v>236467</v>
      </c>
      <c r="O174" s="62" t="s">
        <v>89</v>
      </c>
      <c r="P174" s="62">
        <v>8</v>
      </c>
      <c r="Q174" s="64" t="s">
        <v>198</v>
      </c>
      <c r="R174" s="64" t="s">
        <v>91</v>
      </c>
      <c r="S174" s="64" t="s">
        <v>199</v>
      </c>
      <c r="T174" s="65" t="s">
        <v>92</v>
      </c>
      <c r="U174" s="65" t="s">
        <v>93</v>
      </c>
      <c r="V174" s="62" t="s">
        <v>94</v>
      </c>
      <c r="W174" s="62">
        <v>31</v>
      </c>
      <c r="X174" s="66" t="s">
        <v>95</v>
      </c>
      <c r="Y174" s="66" t="s">
        <v>96</v>
      </c>
      <c r="Z174" s="102">
        <v>8000</v>
      </c>
      <c r="AA174" s="101" t="s">
        <v>202</v>
      </c>
      <c r="AB174" s="102">
        <v>4300</v>
      </c>
      <c r="AC174" s="183" t="s">
        <v>97</v>
      </c>
      <c r="AD174" s="184" t="s">
        <v>97</v>
      </c>
      <c r="AE174" s="35"/>
      <c r="AF174" s="37">
        <v>222279</v>
      </c>
      <c r="AG174" s="29" t="s">
        <v>98</v>
      </c>
      <c r="AH174" s="226">
        <v>22464</v>
      </c>
      <c r="AI174" s="48" t="s">
        <v>225</v>
      </c>
      <c r="AJ174" s="39">
        <v>8000</v>
      </c>
      <c r="AK174" s="39" t="s">
        <v>202</v>
      </c>
      <c r="AL174" s="39">
        <v>4300</v>
      </c>
      <c r="AM174" s="30" t="s">
        <v>94</v>
      </c>
      <c r="AN174" s="40">
        <v>61750</v>
      </c>
      <c r="AO174" s="41" t="s">
        <v>331</v>
      </c>
      <c r="AP174" s="41" t="s">
        <v>332</v>
      </c>
      <c r="AQ174" s="27">
        <v>3000</v>
      </c>
      <c r="AR174" s="27" t="s">
        <v>94</v>
      </c>
      <c r="AS174" s="27">
        <v>900</v>
      </c>
      <c r="AT174" s="29">
        <v>41</v>
      </c>
      <c r="AU174" s="29" t="s">
        <v>100</v>
      </c>
      <c r="AV174" s="31">
        <v>42</v>
      </c>
      <c r="AW174" s="31" t="s">
        <v>100</v>
      </c>
      <c r="AX174" s="209"/>
      <c r="AY174" s="285"/>
      <c r="AZ174" s="285"/>
      <c r="BA174" s="286"/>
      <c r="BB174" s="286"/>
      <c r="BC174" s="44" t="s">
        <v>204</v>
      </c>
      <c r="BD174" s="33" t="s">
        <v>103</v>
      </c>
      <c r="BE174" s="271" t="s">
        <v>104</v>
      </c>
      <c r="BF174" s="271" t="s">
        <v>105</v>
      </c>
      <c r="BG174" s="269">
        <v>0</v>
      </c>
      <c r="BH174" s="42">
        <v>24000</v>
      </c>
      <c r="BI174" s="47" t="s">
        <v>100</v>
      </c>
      <c r="BJ174" s="32" t="s">
        <v>309</v>
      </c>
      <c r="BK174" s="32">
        <v>500</v>
      </c>
      <c r="BL174" s="26" t="s">
        <v>106</v>
      </c>
      <c r="BM174" s="26" t="s">
        <v>107</v>
      </c>
      <c r="BN174" s="209">
        <v>0</v>
      </c>
      <c r="BO174" s="26" t="s">
        <v>108</v>
      </c>
      <c r="BP174" s="34" t="s">
        <v>109</v>
      </c>
      <c r="BQ174" s="209">
        <v>4000</v>
      </c>
      <c r="BR174" s="26" t="s">
        <v>108</v>
      </c>
      <c r="BS174" s="34" t="s">
        <v>110</v>
      </c>
      <c r="BT174" s="209">
        <v>5500</v>
      </c>
      <c r="BU174" s="211">
        <v>11000</v>
      </c>
      <c r="BV174" s="212" t="s">
        <v>100</v>
      </c>
      <c r="BW174" s="212" t="s">
        <v>286</v>
      </c>
      <c r="BX174" s="213" t="s">
        <v>100</v>
      </c>
      <c r="BY174" s="213" t="s">
        <v>100</v>
      </c>
      <c r="BZ174" s="45">
        <v>2000</v>
      </c>
    </row>
    <row r="175" spans="2:78" ht="25.5">
      <c r="B175" s="280"/>
      <c r="C175" s="1"/>
      <c r="D175" s="296"/>
      <c r="E175" s="310"/>
      <c r="F175" s="302"/>
      <c r="G175" s="174">
        <v>1190</v>
      </c>
      <c r="H175" s="62">
        <v>950</v>
      </c>
      <c r="I175" s="62">
        <v>10000</v>
      </c>
      <c r="J175" s="62">
        <v>10000</v>
      </c>
      <c r="K175" s="62">
        <v>50</v>
      </c>
      <c r="L175" s="62">
        <v>70</v>
      </c>
      <c r="M175" s="101" t="s">
        <v>225</v>
      </c>
      <c r="N175" s="63">
        <v>239734</v>
      </c>
      <c r="O175" s="62" t="s">
        <v>89</v>
      </c>
      <c r="P175" s="62">
        <v>8</v>
      </c>
      <c r="Q175" s="64" t="s">
        <v>198</v>
      </c>
      <c r="R175" s="64" t="s">
        <v>91</v>
      </c>
      <c r="S175" s="64" t="s">
        <v>199</v>
      </c>
      <c r="T175" s="65" t="s">
        <v>92</v>
      </c>
      <c r="U175" s="65" t="s">
        <v>93</v>
      </c>
      <c r="V175" s="62" t="s">
        <v>94</v>
      </c>
      <c r="W175" s="62">
        <v>31</v>
      </c>
      <c r="X175" s="66" t="s">
        <v>95</v>
      </c>
      <c r="Y175" s="66" t="s">
        <v>96</v>
      </c>
      <c r="Z175" s="102">
        <v>8000</v>
      </c>
      <c r="AA175" s="101" t="s">
        <v>202</v>
      </c>
      <c r="AB175" s="102">
        <v>4300</v>
      </c>
      <c r="AC175" s="183" t="s">
        <v>97</v>
      </c>
      <c r="AD175" s="184" t="s">
        <v>97</v>
      </c>
      <c r="AE175" s="35"/>
      <c r="AF175" s="37">
        <v>225350</v>
      </c>
      <c r="AG175" s="29" t="s">
        <v>98</v>
      </c>
      <c r="AH175" s="226">
        <v>22775</v>
      </c>
      <c r="AI175" s="48" t="s">
        <v>225</v>
      </c>
      <c r="AJ175" s="39">
        <v>8000</v>
      </c>
      <c r="AK175" s="39" t="s">
        <v>202</v>
      </c>
      <c r="AL175" s="39">
        <v>4300</v>
      </c>
      <c r="AM175" s="30" t="s">
        <v>94</v>
      </c>
      <c r="AN175" s="40">
        <v>61750</v>
      </c>
      <c r="AO175" s="41" t="s">
        <v>331</v>
      </c>
      <c r="AP175" s="41" t="s">
        <v>332</v>
      </c>
      <c r="AQ175" s="27">
        <v>3000</v>
      </c>
      <c r="AR175" s="27" t="s">
        <v>94</v>
      </c>
      <c r="AS175" s="27">
        <v>900</v>
      </c>
      <c r="AT175" s="29">
        <v>41</v>
      </c>
      <c r="AU175" s="29" t="s">
        <v>100</v>
      </c>
      <c r="AV175" s="31">
        <v>42</v>
      </c>
      <c r="AW175" s="31" t="s">
        <v>100</v>
      </c>
      <c r="AX175" s="209"/>
      <c r="AY175" s="285"/>
      <c r="AZ175" s="285"/>
      <c r="BA175" s="286"/>
      <c r="BB175" s="286"/>
      <c r="BC175" s="44" t="s">
        <v>204</v>
      </c>
      <c r="BD175" s="33" t="s">
        <v>103</v>
      </c>
      <c r="BE175" s="271" t="s">
        <v>104</v>
      </c>
      <c r="BF175" s="271" t="s">
        <v>105</v>
      </c>
      <c r="BG175" s="269">
        <v>0</v>
      </c>
      <c r="BH175" s="42">
        <v>24000</v>
      </c>
      <c r="BI175" s="47" t="s">
        <v>100</v>
      </c>
      <c r="BJ175" s="32" t="s">
        <v>309</v>
      </c>
      <c r="BK175" s="32">
        <v>500</v>
      </c>
      <c r="BL175" s="26" t="s">
        <v>106</v>
      </c>
      <c r="BM175" s="26" t="s">
        <v>107</v>
      </c>
      <c r="BN175" s="209">
        <v>0</v>
      </c>
      <c r="BO175" s="26" t="s">
        <v>108</v>
      </c>
      <c r="BP175" s="34" t="s">
        <v>109</v>
      </c>
      <c r="BQ175" s="209">
        <v>4000</v>
      </c>
      <c r="BR175" s="26" t="s">
        <v>108</v>
      </c>
      <c r="BS175" s="34" t="s">
        <v>110</v>
      </c>
      <c r="BT175" s="209">
        <v>5500</v>
      </c>
      <c r="BU175" s="211">
        <v>11000</v>
      </c>
      <c r="BV175" s="212" t="s">
        <v>100</v>
      </c>
      <c r="BW175" s="212" t="s">
        <v>286</v>
      </c>
      <c r="BX175" s="213" t="s">
        <v>100</v>
      </c>
      <c r="BY175" s="213" t="s">
        <v>100</v>
      </c>
      <c r="BZ175" s="45">
        <v>2000</v>
      </c>
    </row>
    <row r="176" spans="2:78" ht="26.25" thickBot="1">
      <c r="B176" s="280"/>
      <c r="C176" s="1"/>
      <c r="D176" s="296"/>
      <c r="E176" s="310"/>
      <c r="F176" s="302"/>
      <c r="G176" s="175">
        <v>1250</v>
      </c>
      <c r="H176" s="77">
        <v>1000</v>
      </c>
      <c r="I176" s="77">
        <v>10000</v>
      </c>
      <c r="J176" s="77">
        <v>10000</v>
      </c>
      <c r="K176" s="77">
        <v>50</v>
      </c>
      <c r="L176" s="77">
        <v>73</v>
      </c>
      <c r="M176" s="136" t="s">
        <v>225</v>
      </c>
      <c r="N176" s="78">
        <v>240919</v>
      </c>
      <c r="O176" s="77" t="s">
        <v>89</v>
      </c>
      <c r="P176" s="77">
        <v>8</v>
      </c>
      <c r="Q176" s="79" t="s">
        <v>198</v>
      </c>
      <c r="R176" s="79" t="s">
        <v>91</v>
      </c>
      <c r="S176" s="79" t="s">
        <v>199</v>
      </c>
      <c r="T176" s="80" t="s">
        <v>92</v>
      </c>
      <c r="U176" s="80" t="s">
        <v>93</v>
      </c>
      <c r="V176" s="77" t="s">
        <v>94</v>
      </c>
      <c r="W176" s="77">
        <v>31</v>
      </c>
      <c r="X176" s="81" t="s">
        <v>95</v>
      </c>
      <c r="Y176" s="81" t="s">
        <v>96</v>
      </c>
      <c r="Z176" s="170">
        <v>8000</v>
      </c>
      <c r="AA176" s="136" t="s">
        <v>202</v>
      </c>
      <c r="AB176" s="170">
        <v>4300</v>
      </c>
      <c r="AC176" s="176" t="s">
        <v>97</v>
      </c>
      <c r="AD176" s="177" t="s">
        <v>97</v>
      </c>
      <c r="AE176" s="35"/>
      <c r="AF176" s="37">
        <v>226464</v>
      </c>
      <c r="AG176" s="29" t="s">
        <v>98</v>
      </c>
      <c r="AH176" s="218">
        <v>22887</v>
      </c>
      <c r="AI176" s="219" t="s">
        <v>225</v>
      </c>
      <c r="AJ176" s="220">
        <v>8000</v>
      </c>
      <c r="AK176" s="220" t="s">
        <v>202</v>
      </c>
      <c r="AL176" s="220">
        <v>4300</v>
      </c>
      <c r="AM176" s="221" t="s">
        <v>94</v>
      </c>
      <c r="AN176" s="40">
        <v>61750</v>
      </c>
      <c r="AO176" s="41" t="s">
        <v>331</v>
      </c>
      <c r="AP176" s="41" t="s">
        <v>332</v>
      </c>
      <c r="AQ176" s="27">
        <v>3000</v>
      </c>
      <c r="AR176" s="27" t="s">
        <v>94</v>
      </c>
      <c r="AS176" s="27">
        <v>900</v>
      </c>
      <c r="AT176" s="29">
        <v>41</v>
      </c>
      <c r="AU176" s="29" t="s">
        <v>100</v>
      </c>
      <c r="AV176" s="31">
        <v>42</v>
      </c>
      <c r="AW176" s="31" t="s">
        <v>100</v>
      </c>
      <c r="AX176" s="209"/>
      <c r="AY176" s="285"/>
      <c r="AZ176" s="285"/>
      <c r="BA176" s="286"/>
      <c r="BB176" s="286"/>
      <c r="BC176" s="44" t="s">
        <v>204</v>
      </c>
      <c r="BD176" s="33" t="s">
        <v>103</v>
      </c>
      <c r="BE176" s="271" t="s">
        <v>104</v>
      </c>
      <c r="BF176" s="271" t="s">
        <v>105</v>
      </c>
      <c r="BG176" s="269">
        <v>0</v>
      </c>
      <c r="BH176" s="42">
        <v>24000</v>
      </c>
      <c r="BI176" s="47" t="s">
        <v>100</v>
      </c>
      <c r="BJ176" s="32" t="s">
        <v>309</v>
      </c>
      <c r="BK176" s="32">
        <v>500</v>
      </c>
      <c r="BL176" s="26" t="s">
        <v>106</v>
      </c>
      <c r="BM176" s="26" t="s">
        <v>107</v>
      </c>
      <c r="BN176" s="209">
        <v>0</v>
      </c>
      <c r="BO176" s="26" t="s">
        <v>108</v>
      </c>
      <c r="BP176" s="34" t="s">
        <v>109</v>
      </c>
      <c r="BQ176" s="209">
        <v>4000</v>
      </c>
      <c r="BR176" s="26" t="s">
        <v>108</v>
      </c>
      <c r="BS176" s="34" t="s">
        <v>110</v>
      </c>
      <c r="BT176" s="209">
        <v>5500</v>
      </c>
      <c r="BU176" s="211">
        <v>11000</v>
      </c>
      <c r="BV176" s="212" t="s">
        <v>100</v>
      </c>
      <c r="BW176" s="212" t="s">
        <v>286</v>
      </c>
      <c r="BX176" s="213" t="s">
        <v>100</v>
      </c>
      <c r="BY176" s="213" t="s">
        <v>100</v>
      </c>
      <c r="BZ176" s="45">
        <v>2000</v>
      </c>
    </row>
    <row r="177" spans="2:78" ht="25.5">
      <c r="B177" s="280"/>
      <c r="C177" s="1"/>
      <c r="D177" s="296"/>
      <c r="E177" s="310"/>
      <c r="F177" s="302"/>
      <c r="G177" s="178">
        <v>1400</v>
      </c>
      <c r="H177" s="68">
        <v>1120</v>
      </c>
      <c r="I177" s="68">
        <v>10000</v>
      </c>
      <c r="J177" s="68">
        <v>10000</v>
      </c>
      <c r="K177" s="68">
        <v>50</v>
      </c>
      <c r="L177" s="68">
        <v>82</v>
      </c>
      <c r="M177" s="83" t="s">
        <v>226</v>
      </c>
      <c r="N177" s="69">
        <v>258392</v>
      </c>
      <c r="O177" s="68" t="s">
        <v>89</v>
      </c>
      <c r="P177" s="68">
        <v>8</v>
      </c>
      <c r="Q177" s="70" t="s">
        <v>198</v>
      </c>
      <c r="R177" s="70" t="s">
        <v>91</v>
      </c>
      <c r="S177" s="70" t="s">
        <v>199</v>
      </c>
      <c r="T177" s="71" t="s">
        <v>92</v>
      </c>
      <c r="U177" s="71" t="s">
        <v>93</v>
      </c>
      <c r="V177" s="68" t="s">
        <v>94</v>
      </c>
      <c r="W177" s="68">
        <v>31</v>
      </c>
      <c r="X177" s="72" t="s">
        <v>95</v>
      </c>
      <c r="Y177" s="72" t="s">
        <v>96</v>
      </c>
      <c r="Z177" s="86">
        <v>12000</v>
      </c>
      <c r="AA177" s="83" t="s">
        <v>206</v>
      </c>
      <c r="AB177" s="86">
        <v>4600</v>
      </c>
      <c r="AC177" s="179" t="s">
        <v>97</v>
      </c>
      <c r="AD177" s="180" t="s">
        <v>97</v>
      </c>
      <c r="AE177" s="35"/>
      <c r="AF177" s="37">
        <v>242888</v>
      </c>
      <c r="AG177" s="29" t="s">
        <v>98</v>
      </c>
      <c r="AH177" s="222">
        <v>24547</v>
      </c>
      <c r="AI177" s="223" t="s">
        <v>226</v>
      </c>
      <c r="AJ177" s="224">
        <v>12000</v>
      </c>
      <c r="AK177" s="224" t="s">
        <v>206</v>
      </c>
      <c r="AL177" s="224">
        <v>4600</v>
      </c>
      <c r="AM177" s="225" t="s">
        <v>94</v>
      </c>
      <c r="AN177" s="40">
        <v>61750</v>
      </c>
      <c r="AO177" s="41" t="s">
        <v>331</v>
      </c>
      <c r="AP177" s="41" t="s">
        <v>332</v>
      </c>
      <c r="AQ177" s="27">
        <v>3000</v>
      </c>
      <c r="AR177" s="27" t="s">
        <v>94</v>
      </c>
      <c r="AS177" s="27">
        <v>900</v>
      </c>
      <c r="AT177" s="29">
        <v>41</v>
      </c>
      <c r="AU177" s="29" t="s">
        <v>100</v>
      </c>
      <c r="AV177" s="31">
        <v>42</v>
      </c>
      <c r="AW177" s="31" t="s">
        <v>100</v>
      </c>
      <c r="AX177" s="209"/>
      <c r="AY177" s="285"/>
      <c r="AZ177" s="285"/>
      <c r="BA177" s="286"/>
      <c r="BB177" s="286"/>
      <c r="BC177" s="44" t="s">
        <v>204</v>
      </c>
      <c r="BD177" s="33" t="s">
        <v>103</v>
      </c>
      <c r="BE177" s="271" t="s">
        <v>104</v>
      </c>
      <c r="BF177" s="271" t="s">
        <v>105</v>
      </c>
      <c r="BG177" s="269">
        <v>0</v>
      </c>
      <c r="BH177" s="42">
        <v>24000</v>
      </c>
      <c r="BI177" s="47" t="s">
        <v>100</v>
      </c>
      <c r="BJ177" s="32" t="s">
        <v>101</v>
      </c>
      <c r="BK177" s="32" t="s">
        <v>100</v>
      </c>
      <c r="BL177" s="26" t="s">
        <v>106</v>
      </c>
      <c r="BM177" s="26" t="s">
        <v>107</v>
      </c>
      <c r="BN177" s="209">
        <v>0</v>
      </c>
      <c r="BO177" s="26" t="s">
        <v>108</v>
      </c>
      <c r="BP177" s="34" t="s">
        <v>109</v>
      </c>
      <c r="BQ177" s="209">
        <v>4000</v>
      </c>
      <c r="BR177" s="26" t="s">
        <v>108</v>
      </c>
      <c r="BS177" s="34" t="s">
        <v>110</v>
      </c>
      <c r="BT177" s="209">
        <v>5500</v>
      </c>
      <c r="BU177" s="211">
        <v>11000</v>
      </c>
      <c r="BV177" s="212" t="s">
        <v>100</v>
      </c>
      <c r="BW177" s="212" t="s">
        <v>286</v>
      </c>
      <c r="BX177" s="213" t="s">
        <v>100</v>
      </c>
      <c r="BY177" s="213" t="s">
        <v>100</v>
      </c>
      <c r="BZ177" s="45">
        <v>2000</v>
      </c>
    </row>
    <row r="178" spans="2:78" ht="25.5">
      <c r="B178" s="280"/>
      <c r="C178" s="1"/>
      <c r="D178" s="296"/>
      <c r="E178" s="310"/>
      <c r="F178" s="302"/>
      <c r="G178" s="174">
        <v>1565</v>
      </c>
      <c r="H178" s="62">
        <v>1250</v>
      </c>
      <c r="I178" s="62">
        <v>10000</v>
      </c>
      <c r="J178" s="62">
        <v>10000</v>
      </c>
      <c r="K178" s="62">
        <v>50</v>
      </c>
      <c r="L178" s="62">
        <v>91</v>
      </c>
      <c r="M178" s="84" t="s">
        <v>226</v>
      </c>
      <c r="N178" s="63">
        <v>265080</v>
      </c>
      <c r="O178" s="62" t="s">
        <v>89</v>
      </c>
      <c r="P178" s="62">
        <v>8</v>
      </c>
      <c r="Q178" s="64" t="s">
        <v>198</v>
      </c>
      <c r="R178" s="64" t="s">
        <v>91</v>
      </c>
      <c r="S178" s="64" t="s">
        <v>199</v>
      </c>
      <c r="T178" s="65" t="s">
        <v>92</v>
      </c>
      <c r="U178" s="65" t="s">
        <v>93</v>
      </c>
      <c r="V178" s="62" t="s">
        <v>94</v>
      </c>
      <c r="W178" s="62">
        <v>31</v>
      </c>
      <c r="X178" s="66" t="s">
        <v>95</v>
      </c>
      <c r="Y178" s="66" t="s">
        <v>96</v>
      </c>
      <c r="Z178" s="87">
        <v>12000</v>
      </c>
      <c r="AA178" s="84" t="s">
        <v>206</v>
      </c>
      <c r="AB178" s="87">
        <v>4600</v>
      </c>
      <c r="AC178" s="183" t="s">
        <v>97</v>
      </c>
      <c r="AD178" s="184" t="s">
        <v>97</v>
      </c>
      <c r="AE178" s="35"/>
      <c r="AF178" s="37">
        <v>249175</v>
      </c>
      <c r="AG178" s="29" t="s">
        <v>98</v>
      </c>
      <c r="AH178" s="226">
        <v>25183</v>
      </c>
      <c r="AI178" s="48" t="s">
        <v>226</v>
      </c>
      <c r="AJ178" s="39">
        <v>12000</v>
      </c>
      <c r="AK178" s="39" t="s">
        <v>206</v>
      </c>
      <c r="AL178" s="39">
        <v>4600</v>
      </c>
      <c r="AM178" s="30" t="s">
        <v>94</v>
      </c>
      <c r="AN178" s="40">
        <v>61750</v>
      </c>
      <c r="AO178" s="41" t="s">
        <v>331</v>
      </c>
      <c r="AP178" s="41" t="s">
        <v>332</v>
      </c>
      <c r="AQ178" s="27">
        <v>3000</v>
      </c>
      <c r="AR178" s="27" t="s">
        <v>94</v>
      </c>
      <c r="AS178" s="27">
        <v>900</v>
      </c>
      <c r="AT178" s="29">
        <v>41</v>
      </c>
      <c r="AU178" s="29" t="s">
        <v>100</v>
      </c>
      <c r="AV178" s="31">
        <v>42</v>
      </c>
      <c r="AW178" s="31" t="s">
        <v>100</v>
      </c>
      <c r="AX178" s="209"/>
      <c r="AY178" s="285"/>
      <c r="AZ178" s="285"/>
      <c r="BA178" s="286"/>
      <c r="BB178" s="286"/>
      <c r="BC178" s="44" t="s">
        <v>204</v>
      </c>
      <c r="BD178" s="33" t="s">
        <v>103</v>
      </c>
      <c r="BE178" s="271" t="s">
        <v>104</v>
      </c>
      <c r="BF178" s="271" t="s">
        <v>105</v>
      </c>
      <c r="BG178" s="269">
        <v>0</v>
      </c>
      <c r="BH178" s="42">
        <v>24000</v>
      </c>
      <c r="BI178" s="47" t="s">
        <v>100</v>
      </c>
      <c r="BJ178" s="32" t="s">
        <v>101</v>
      </c>
      <c r="BK178" s="32" t="s">
        <v>100</v>
      </c>
      <c r="BL178" s="26" t="s">
        <v>106</v>
      </c>
      <c r="BM178" s="26" t="s">
        <v>107</v>
      </c>
      <c r="BN178" s="209">
        <v>0</v>
      </c>
      <c r="BO178" s="26" t="s">
        <v>108</v>
      </c>
      <c r="BP178" s="34" t="s">
        <v>109</v>
      </c>
      <c r="BQ178" s="209">
        <v>4000</v>
      </c>
      <c r="BR178" s="26" t="s">
        <v>108</v>
      </c>
      <c r="BS178" s="34" t="s">
        <v>110</v>
      </c>
      <c r="BT178" s="209">
        <v>5500</v>
      </c>
      <c r="BU178" s="211">
        <v>11000</v>
      </c>
      <c r="BV178" s="212" t="s">
        <v>100</v>
      </c>
      <c r="BW178" s="212" t="s">
        <v>286</v>
      </c>
      <c r="BX178" s="213" t="s">
        <v>100</v>
      </c>
      <c r="BY178" s="213" t="s">
        <v>100</v>
      </c>
      <c r="BZ178" s="45">
        <v>2000</v>
      </c>
    </row>
    <row r="179" spans="2:78" ht="26.25" thickBot="1">
      <c r="B179" s="280"/>
      <c r="C179" s="1"/>
      <c r="D179" s="296"/>
      <c r="E179" s="310"/>
      <c r="F179" s="302"/>
      <c r="G179" s="175">
        <v>1750</v>
      </c>
      <c r="H179" s="77">
        <v>1400</v>
      </c>
      <c r="I179" s="77">
        <v>10000</v>
      </c>
      <c r="J179" s="77">
        <v>10000</v>
      </c>
      <c r="K179" s="77">
        <v>50</v>
      </c>
      <c r="L179" s="77">
        <v>98</v>
      </c>
      <c r="M179" s="85" t="s">
        <v>226</v>
      </c>
      <c r="N179" s="78">
        <v>291202</v>
      </c>
      <c r="O179" s="77" t="s">
        <v>89</v>
      </c>
      <c r="P179" s="77">
        <v>8</v>
      </c>
      <c r="Q179" s="79" t="s">
        <v>198</v>
      </c>
      <c r="R179" s="79" t="s">
        <v>91</v>
      </c>
      <c r="S179" s="79" t="s">
        <v>199</v>
      </c>
      <c r="T179" s="80" t="s">
        <v>92</v>
      </c>
      <c r="U179" s="80" t="s">
        <v>93</v>
      </c>
      <c r="V179" s="77" t="s">
        <v>94</v>
      </c>
      <c r="W179" s="77">
        <v>31</v>
      </c>
      <c r="X179" s="81" t="s">
        <v>95</v>
      </c>
      <c r="Y179" s="81" t="s">
        <v>96</v>
      </c>
      <c r="Z179" s="88">
        <v>12000</v>
      </c>
      <c r="AA179" s="85" t="s">
        <v>206</v>
      </c>
      <c r="AB179" s="88">
        <v>4600</v>
      </c>
      <c r="AC179" s="176" t="s">
        <v>97</v>
      </c>
      <c r="AD179" s="177" t="s">
        <v>97</v>
      </c>
      <c r="AE179" s="35"/>
      <c r="AF179" s="37">
        <v>273730</v>
      </c>
      <c r="AG179" s="29" t="s">
        <v>98</v>
      </c>
      <c r="AH179" s="218">
        <v>27664</v>
      </c>
      <c r="AI179" s="219" t="s">
        <v>226</v>
      </c>
      <c r="AJ179" s="220">
        <v>12000</v>
      </c>
      <c r="AK179" s="220" t="s">
        <v>206</v>
      </c>
      <c r="AL179" s="220">
        <v>4600</v>
      </c>
      <c r="AM179" s="221" t="s">
        <v>94</v>
      </c>
      <c r="AN179" s="40">
        <v>61750</v>
      </c>
      <c r="AO179" s="41" t="s">
        <v>331</v>
      </c>
      <c r="AP179" s="41" t="s">
        <v>332</v>
      </c>
      <c r="AQ179" s="27">
        <v>3000</v>
      </c>
      <c r="AR179" s="27" t="s">
        <v>94</v>
      </c>
      <c r="AS179" s="27">
        <v>900</v>
      </c>
      <c r="AT179" s="29">
        <v>41</v>
      </c>
      <c r="AU179" s="29" t="s">
        <v>100</v>
      </c>
      <c r="AV179" s="31">
        <v>42</v>
      </c>
      <c r="AW179" s="31" t="s">
        <v>100</v>
      </c>
      <c r="AX179" s="209"/>
      <c r="AY179" s="285"/>
      <c r="AZ179" s="285"/>
      <c r="BA179" s="286"/>
      <c r="BB179" s="286"/>
      <c r="BC179" s="44" t="s">
        <v>204</v>
      </c>
      <c r="BD179" s="33" t="s">
        <v>103</v>
      </c>
      <c r="BE179" s="271" t="s">
        <v>104</v>
      </c>
      <c r="BF179" s="271" t="s">
        <v>105</v>
      </c>
      <c r="BG179" s="269">
        <v>0</v>
      </c>
      <c r="BH179" s="42">
        <v>27000</v>
      </c>
      <c r="BI179" s="47" t="s">
        <v>100</v>
      </c>
      <c r="BJ179" s="32" t="s">
        <v>101</v>
      </c>
      <c r="BK179" s="32" t="s">
        <v>100</v>
      </c>
      <c r="BL179" s="26" t="s">
        <v>106</v>
      </c>
      <c r="BM179" s="26" t="s">
        <v>107</v>
      </c>
      <c r="BN179" s="209">
        <v>0</v>
      </c>
      <c r="BO179" s="26" t="s">
        <v>108</v>
      </c>
      <c r="BP179" s="34" t="s">
        <v>109</v>
      </c>
      <c r="BQ179" s="209">
        <v>4000</v>
      </c>
      <c r="BR179" s="26" t="s">
        <v>108</v>
      </c>
      <c r="BS179" s="34" t="s">
        <v>110</v>
      </c>
      <c r="BT179" s="209">
        <v>5500</v>
      </c>
      <c r="BU179" s="211">
        <v>11000</v>
      </c>
      <c r="BV179" s="212" t="s">
        <v>100</v>
      </c>
      <c r="BW179" s="212" t="s">
        <v>286</v>
      </c>
      <c r="BX179" s="213" t="s">
        <v>100</v>
      </c>
      <c r="BY179" s="213" t="s">
        <v>100</v>
      </c>
      <c r="BZ179" s="45">
        <v>2000</v>
      </c>
    </row>
    <row r="180" spans="2:78" ht="25.5">
      <c r="B180" s="280"/>
      <c r="C180" s="1"/>
      <c r="D180" s="296"/>
      <c r="E180" s="310"/>
      <c r="F180" s="302"/>
      <c r="G180" s="178">
        <v>2000</v>
      </c>
      <c r="H180" s="68">
        <v>1600</v>
      </c>
      <c r="I180" s="68">
        <v>10000</v>
      </c>
      <c r="J180" s="68">
        <v>10000</v>
      </c>
      <c r="K180" s="68">
        <v>50</v>
      </c>
      <c r="L180" s="68">
        <v>115</v>
      </c>
      <c r="M180" s="103" t="s">
        <v>227</v>
      </c>
      <c r="N180" s="69">
        <v>306555</v>
      </c>
      <c r="O180" s="68" t="s">
        <v>89</v>
      </c>
      <c r="P180" s="68">
        <v>8</v>
      </c>
      <c r="Q180" s="70" t="s">
        <v>198</v>
      </c>
      <c r="R180" s="70" t="s">
        <v>91</v>
      </c>
      <c r="S180" s="70" t="s">
        <v>199</v>
      </c>
      <c r="T180" s="71" t="s">
        <v>92</v>
      </c>
      <c r="U180" s="71" t="s">
        <v>93</v>
      </c>
      <c r="V180" s="68" t="s">
        <v>94</v>
      </c>
      <c r="W180" s="68">
        <v>31</v>
      </c>
      <c r="X180" s="72" t="s">
        <v>95</v>
      </c>
      <c r="Y180" s="72" t="s">
        <v>96</v>
      </c>
      <c r="Z180" s="104">
        <v>18000</v>
      </c>
      <c r="AA180" s="103" t="s">
        <v>207</v>
      </c>
      <c r="AB180" s="104">
        <v>4800</v>
      </c>
      <c r="AC180" s="179" t="s">
        <v>97</v>
      </c>
      <c r="AD180" s="180" t="s">
        <v>97</v>
      </c>
      <c r="AE180" s="35"/>
      <c r="AF180" s="37">
        <v>288162</v>
      </c>
      <c r="AG180" s="29" t="s">
        <v>98</v>
      </c>
      <c r="AH180" s="222">
        <v>29123</v>
      </c>
      <c r="AI180" s="223" t="s">
        <v>227</v>
      </c>
      <c r="AJ180" s="224">
        <v>18000</v>
      </c>
      <c r="AK180" s="224" t="s">
        <v>207</v>
      </c>
      <c r="AL180" s="224">
        <v>4800</v>
      </c>
      <c r="AM180" s="225" t="s">
        <v>94</v>
      </c>
      <c r="AN180" s="40">
        <v>68400</v>
      </c>
      <c r="AO180" s="41" t="s">
        <v>331</v>
      </c>
      <c r="AP180" s="41" t="s">
        <v>332</v>
      </c>
      <c r="AQ180" s="27">
        <v>3000</v>
      </c>
      <c r="AR180" s="27" t="s">
        <v>94</v>
      </c>
      <c r="AS180" s="27">
        <v>900</v>
      </c>
      <c r="AT180" s="29">
        <v>41</v>
      </c>
      <c r="AU180" s="29" t="s">
        <v>100</v>
      </c>
      <c r="AV180" s="31">
        <v>42</v>
      </c>
      <c r="AW180" s="31" t="s">
        <v>100</v>
      </c>
      <c r="AX180" s="209"/>
      <c r="AY180" s="285"/>
      <c r="AZ180" s="285"/>
      <c r="BA180" s="286"/>
      <c r="BB180" s="286"/>
      <c r="BC180" s="44" t="s">
        <v>204</v>
      </c>
      <c r="BD180" s="33" t="s">
        <v>103</v>
      </c>
      <c r="BE180" s="271" t="s">
        <v>104</v>
      </c>
      <c r="BF180" s="271" t="s">
        <v>105</v>
      </c>
      <c r="BG180" s="269">
        <v>0</v>
      </c>
      <c r="BH180" s="42">
        <v>27000</v>
      </c>
      <c r="BI180" s="47" t="s">
        <v>100</v>
      </c>
      <c r="BJ180" s="32" t="s">
        <v>101</v>
      </c>
      <c r="BK180" s="32" t="s">
        <v>100</v>
      </c>
      <c r="BL180" s="26" t="s">
        <v>106</v>
      </c>
      <c r="BM180" s="26" t="s">
        <v>107</v>
      </c>
      <c r="BN180" s="209">
        <v>0</v>
      </c>
      <c r="BO180" s="26" t="s">
        <v>108</v>
      </c>
      <c r="BP180" s="34" t="s">
        <v>109</v>
      </c>
      <c r="BQ180" s="209">
        <v>4000</v>
      </c>
      <c r="BR180" s="26" t="s">
        <v>108</v>
      </c>
      <c r="BS180" s="34" t="s">
        <v>110</v>
      </c>
      <c r="BT180" s="209">
        <v>5500</v>
      </c>
      <c r="BU180" s="211">
        <v>11000</v>
      </c>
      <c r="BV180" s="212" t="s">
        <v>100</v>
      </c>
      <c r="BW180" s="212" t="s">
        <v>286</v>
      </c>
      <c r="BX180" s="213" t="s">
        <v>100</v>
      </c>
      <c r="BY180" s="213" t="s">
        <v>100</v>
      </c>
      <c r="BZ180" s="45">
        <v>2000</v>
      </c>
    </row>
    <row r="181" spans="2:78" ht="25.5">
      <c r="B181" s="280"/>
      <c r="C181" s="1"/>
      <c r="D181" s="296"/>
      <c r="E181" s="310"/>
      <c r="F181" s="302"/>
      <c r="G181" s="174">
        <v>2250</v>
      </c>
      <c r="H181" s="62">
        <v>1800</v>
      </c>
      <c r="I181" s="62">
        <v>10000</v>
      </c>
      <c r="J181" s="62">
        <v>10000</v>
      </c>
      <c r="K181" s="62">
        <v>50</v>
      </c>
      <c r="L181" s="62">
        <v>130</v>
      </c>
      <c r="M181" s="101" t="s">
        <v>227</v>
      </c>
      <c r="N181" s="63">
        <v>335731</v>
      </c>
      <c r="O181" s="62" t="s">
        <v>89</v>
      </c>
      <c r="P181" s="62">
        <v>8</v>
      </c>
      <c r="Q181" s="64" t="s">
        <v>198</v>
      </c>
      <c r="R181" s="64" t="s">
        <v>91</v>
      </c>
      <c r="S181" s="64" t="s">
        <v>199</v>
      </c>
      <c r="T181" s="65" t="s">
        <v>92</v>
      </c>
      <c r="U181" s="65" t="s">
        <v>93</v>
      </c>
      <c r="V181" s="62" t="s">
        <v>94</v>
      </c>
      <c r="W181" s="62">
        <v>31</v>
      </c>
      <c r="X181" s="66" t="s">
        <v>95</v>
      </c>
      <c r="Y181" s="66" t="s">
        <v>96</v>
      </c>
      <c r="Z181" s="102">
        <v>18000</v>
      </c>
      <c r="AA181" s="101" t="s">
        <v>207</v>
      </c>
      <c r="AB181" s="102">
        <v>4800</v>
      </c>
      <c r="AC181" s="183" t="s">
        <v>97</v>
      </c>
      <c r="AD181" s="184" t="s">
        <v>97</v>
      </c>
      <c r="AE181" s="35"/>
      <c r="AF181" s="37">
        <v>315587</v>
      </c>
      <c r="AG181" s="29" t="s">
        <v>98</v>
      </c>
      <c r="AH181" s="226">
        <v>31894</v>
      </c>
      <c r="AI181" s="48" t="s">
        <v>227</v>
      </c>
      <c r="AJ181" s="39">
        <v>18000</v>
      </c>
      <c r="AK181" s="39" t="s">
        <v>207</v>
      </c>
      <c r="AL181" s="39">
        <v>4800</v>
      </c>
      <c r="AM181" s="30" t="s">
        <v>94</v>
      </c>
      <c r="AN181" s="40">
        <v>68400</v>
      </c>
      <c r="AO181" s="41" t="s">
        <v>331</v>
      </c>
      <c r="AP181" s="41" t="s">
        <v>332</v>
      </c>
      <c r="AQ181" s="27">
        <v>3000</v>
      </c>
      <c r="AR181" s="27" t="s">
        <v>94</v>
      </c>
      <c r="AS181" s="27">
        <v>900</v>
      </c>
      <c r="AT181" s="29">
        <v>41</v>
      </c>
      <c r="AU181" s="29" t="s">
        <v>100</v>
      </c>
      <c r="AV181" s="31">
        <v>42</v>
      </c>
      <c r="AW181" s="31" t="s">
        <v>100</v>
      </c>
      <c r="AX181" s="209"/>
      <c r="AY181" s="285"/>
      <c r="AZ181" s="285"/>
      <c r="BA181" s="286"/>
      <c r="BB181" s="286"/>
      <c r="BC181" s="44" t="s">
        <v>204</v>
      </c>
      <c r="BD181" s="33" t="s">
        <v>103</v>
      </c>
      <c r="BE181" s="271" t="s">
        <v>104</v>
      </c>
      <c r="BF181" s="271" t="s">
        <v>105</v>
      </c>
      <c r="BG181" s="269">
        <v>0</v>
      </c>
      <c r="BH181" s="42">
        <v>27000</v>
      </c>
      <c r="BI181" s="47" t="s">
        <v>100</v>
      </c>
      <c r="BJ181" s="32" t="s">
        <v>101</v>
      </c>
      <c r="BK181" s="32" t="s">
        <v>100</v>
      </c>
      <c r="BL181" s="26" t="s">
        <v>106</v>
      </c>
      <c r="BM181" s="26" t="s">
        <v>107</v>
      </c>
      <c r="BN181" s="209">
        <v>0</v>
      </c>
      <c r="BO181" s="26" t="s">
        <v>108</v>
      </c>
      <c r="BP181" s="34" t="s">
        <v>109</v>
      </c>
      <c r="BQ181" s="209">
        <v>4000</v>
      </c>
      <c r="BR181" s="26" t="s">
        <v>108</v>
      </c>
      <c r="BS181" s="34" t="s">
        <v>110</v>
      </c>
      <c r="BT181" s="209">
        <v>5500</v>
      </c>
      <c r="BU181" s="211">
        <v>11000</v>
      </c>
      <c r="BV181" s="212" t="s">
        <v>100</v>
      </c>
      <c r="BW181" s="212" t="s">
        <v>286</v>
      </c>
      <c r="BX181" s="213" t="s">
        <v>100</v>
      </c>
      <c r="BY181" s="213" t="s">
        <v>100</v>
      </c>
      <c r="BZ181" s="45">
        <v>2000</v>
      </c>
    </row>
    <row r="182" spans="2:78" ht="26.25" thickBot="1">
      <c r="B182" s="280"/>
      <c r="C182" s="1"/>
      <c r="D182" s="296"/>
      <c r="E182" s="310"/>
      <c r="F182" s="302"/>
      <c r="G182" s="175">
        <v>2500</v>
      </c>
      <c r="H182" s="77">
        <v>2000</v>
      </c>
      <c r="I182" s="77">
        <v>10000</v>
      </c>
      <c r="J182" s="77">
        <v>10000</v>
      </c>
      <c r="K182" s="77">
        <v>50</v>
      </c>
      <c r="L182" s="77">
        <v>145</v>
      </c>
      <c r="M182" s="136" t="s">
        <v>227</v>
      </c>
      <c r="N182" s="78">
        <v>347126</v>
      </c>
      <c r="O182" s="77" t="s">
        <v>89</v>
      </c>
      <c r="P182" s="77">
        <v>8</v>
      </c>
      <c r="Q182" s="79" t="s">
        <v>198</v>
      </c>
      <c r="R182" s="79" t="s">
        <v>91</v>
      </c>
      <c r="S182" s="79" t="s">
        <v>199</v>
      </c>
      <c r="T182" s="80" t="s">
        <v>92</v>
      </c>
      <c r="U182" s="80" t="s">
        <v>93</v>
      </c>
      <c r="V182" s="77" t="s">
        <v>94</v>
      </c>
      <c r="W182" s="77">
        <v>31</v>
      </c>
      <c r="X182" s="81" t="s">
        <v>95</v>
      </c>
      <c r="Y182" s="81" t="s">
        <v>96</v>
      </c>
      <c r="Z182" s="170">
        <v>18000</v>
      </c>
      <c r="AA182" s="136" t="s">
        <v>207</v>
      </c>
      <c r="AB182" s="170">
        <v>4800</v>
      </c>
      <c r="AC182" s="176" t="s">
        <v>97</v>
      </c>
      <c r="AD182" s="177" t="s">
        <v>97</v>
      </c>
      <c r="AE182" s="35"/>
      <c r="AF182" s="37">
        <v>326298</v>
      </c>
      <c r="AG182" s="29" t="s">
        <v>98</v>
      </c>
      <c r="AH182" s="218">
        <v>32977</v>
      </c>
      <c r="AI182" s="219" t="s">
        <v>227</v>
      </c>
      <c r="AJ182" s="220">
        <v>18000</v>
      </c>
      <c r="AK182" s="220" t="s">
        <v>207</v>
      </c>
      <c r="AL182" s="220">
        <v>4800</v>
      </c>
      <c r="AM182" s="221" t="s">
        <v>94</v>
      </c>
      <c r="AN182" s="235">
        <v>68400</v>
      </c>
      <c r="AO182" s="236" t="s">
        <v>331</v>
      </c>
      <c r="AP182" s="236" t="s">
        <v>332</v>
      </c>
      <c r="AQ182" s="237">
        <v>3000</v>
      </c>
      <c r="AR182" s="237" t="s">
        <v>94</v>
      </c>
      <c r="AS182" s="237">
        <v>900</v>
      </c>
      <c r="AT182" s="29">
        <v>41</v>
      </c>
      <c r="AU182" s="29" t="s">
        <v>100</v>
      </c>
      <c r="AV182" s="31">
        <v>42</v>
      </c>
      <c r="AW182" s="31" t="s">
        <v>100</v>
      </c>
      <c r="AX182" s="209"/>
      <c r="AY182" s="285"/>
      <c r="AZ182" s="285"/>
      <c r="BA182" s="286"/>
      <c r="BB182" s="286"/>
      <c r="BC182" s="44" t="s">
        <v>204</v>
      </c>
      <c r="BD182" s="33" t="s">
        <v>103</v>
      </c>
      <c r="BE182" s="271" t="s">
        <v>104</v>
      </c>
      <c r="BF182" s="271" t="s">
        <v>105</v>
      </c>
      <c r="BG182" s="269">
        <v>0</v>
      </c>
      <c r="BH182" s="42">
        <v>27000</v>
      </c>
      <c r="BI182" s="47" t="s">
        <v>100</v>
      </c>
      <c r="BJ182" s="32" t="s">
        <v>101</v>
      </c>
      <c r="BK182" s="32" t="s">
        <v>100</v>
      </c>
      <c r="BL182" s="26" t="s">
        <v>106</v>
      </c>
      <c r="BM182" s="26" t="s">
        <v>107</v>
      </c>
      <c r="BN182" s="209">
        <v>0</v>
      </c>
      <c r="BO182" s="26" t="s">
        <v>108</v>
      </c>
      <c r="BP182" s="34" t="s">
        <v>109</v>
      </c>
      <c r="BQ182" s="209">
        <v>4000</v>
      </c>
      <c r="BR182" s="26" t="s">
        <v>108</v>
      </c>
      <c r="BS182" s="34" t="s">
        <v>110</v>
      </c>
      <c r="BT182" s="209">
        <v>5500</v>
      </c>
      <c r="BU182" s="211">
        <v>11000</v>
      </c>
      <c r="BV182" s="212" t="s">
        <v>100</v>
      </c>
      <c r="BW182" s="212" t="s">
        <v>286</v>
      </c>
      <c r="BX182" s="213" t="s">
        <v>100</v>
      </c>
      <c r="BY182" s="213" t="s">
        <v>100</v>
      </c>
      <c r="BZ182" s="45">
        <v>2000</v>
      </c>
    </row>
    <row r="183" spans="2:78" ht="25.5">
      <c r="B183" s="280"/>
      <c r="C183" s="1"/>
      <c r="D183" s="296"/>
      <c r="E183" s="310"/>
      <c r="F183" s="302"/>
      <c r="G183" s="190">
        <v>2750</v>
      </c>
      <c r="H183" s="185">
        <v>2200</v>
      </c>
      <c r="I183" s="185">
        <v>10000</v>
      </c>
      <c r="J183" s="185">
        <v>10000</v>
      </c>
      <c r="K183" s="185">
        <v>50</v>
      </c>
      <c r="L183" s="185">
        <v>160</v>
      </c>
      <c r="M183" s="191" t="s">
        <v>228</v>
      </c>
      <c r="N183" s="186">
        <v>406363</v>
      </c>
      <c r="O183" s="185" t="s">
        <v>89</v>
      </c>
      <c r="P183" s="185">
        <v>8</v>
      </c>
      <c r="Q183" s="187" t="s">
        <v>198</v>
      </c>
      <c r="R183" s="187" t="s">
        <v>91</v>
      </c>
      <c r="S183" s="187" t="s">
        <v>199</v>
      </c>
      <c r="T183" s="188" t="s">
        <v>92</v>
      </c>
      <c r="U183" s="188" t="s">
        <v>93</v>
      </c>
      <c r="V183" s="185" t="s">
        <v>94</v>
      </c>
      <c r="W183" s="185">
        <v>31</v>
      </c>
      <c r="X183" s="189" t="s">
        <v>95</v>
      </c>
      <c r="Y183" s="189" t="s">
        <v>96</v>
      </c>
      <c r="Z183" s="192">
        <v>27000</v>
      </c>
      <c r="AA183" s="191" t="s">
        <v>207</v>
      </c>
      <c r="AB183" s="192">
        <v>4850</v>
      </c>
      <c r="AC183" s="193" t="s">
        <v>97</v>
      </c>
      <c r="AD183" s="194" t="s">
        <v>97</v>
      </c>
      <c r="AE183" s="35"/>
      <c r="AF183" s="37">
        <v>381981</v>
      </c>
      <c r="AG183" s="29" t="s">
        <v>98</v>
      </c>
      <c r="AH183" s="222">
        <v>38604</v>
      </c>
      <c r="AI183" s="223" t="s">
        <v>228</v>
      </c>
      <c r="AJ183" s="224">
        <v>27000</v>
      </c>
      <c r="AK183" s="224" t="s">
        <v>207</v>
      </c>
      <c r="AL183" s="224">
        <v>4850</v>
      </c>
      <c r="AM183" s="225" t="s">
        <v>94</v>
      </c>
      <c r="AN183" s="238">
        <v>68400</v>
      </c>
      <c r="AO183" s="239" t="s">
        <v>304</v>
      </c>
      <c r="AP183" s="239" t="s">
        <v>307</v>
      </c>
      <c r="AQ183" s="239">
        <v>3000</v>
      </c>
      <c r="AR183" s="239" t="s">
        <v>94</v>
      </c>
      <c r="AS183" s="239">
        <v>1500</v>
      </c>
      <c r="AT183" s="29">
        <v>41</v>
      </c>
      <c r="AU183" s="29" t="s">
        <v>100</v>
      </c>
      <c r="AV183" s="31">
        <v>42</v>
      </c>
      <c r="AW183" s="31" t="s">
        <v>100</v>
      </c>
      <c r="AX183" s="209"/>
      <c r="AY183" s="285"/>
      <c r="AZ183" s="285"/>
      <c r="BA183" s="286"/>
      <c r="BB183" s="286"/>
      <c r="BC183" s="44" t="s">
        <v>204</v>
      </c>
      <c r="BD183" s="33" t="s">
        <v>103</v>
      </c>
      <c r="BE183" s="271" t="s">
        <v>104</v>
      </c>
      <c r="BF183" s="271" t="s">
        <v>105</v>
      </c>
      <c r="BG183" s="269">
        <v>0</v>
      </c>
      <c r="BH183" s="42">
        <v>27000</v>
      </c>
      <c r="BI183" s="47" t="s">
        <v>100</v>
      </c>
      <c r="BJ183" s="32" t="s">
        <v>101</v>
      </c>
      <c r="BK183" s="32" t="s">
        <v>100</v>
      </c>
      <c r="BL183" s="26" t="s">
        <v>106</v>
      </c>
      <c r="BM183" s="26" t="s">
        <v>107</v>
      </c>
      <c r="BN183" s="209">
        <v>0</v>
      </c>
      <c r="BO183" s="26" t="s">
        <v>108</v>
      </c>
      <c r="BP183" s="34" t="s">
        <v>109</v>
      </c>
      <c r="BQ183" s="209">
        <v>4000</v>
      </c>
      <c r="BR183" s="26" t="s">
        <v>108</v>
      </c>
      <c r="BS183" s="34" t="s">
        <v>110</v>
      </c>
      <c r="BT183" s="209">
        <v>5500</v>
      </c>
      <c r="BU183" s="211">
        <v>11000</v>
      </c>
      <c r="BV183" s="212" t="s">
        <v>100</v>
      </c>
      <c r="BW183" s="212" t="s">
        <v>286</v>
      </c>
      <c r="BX183" s="213" t="s">
        <v>100</v>
      </c>
      <c r="BY183" s="213" t="s">
        <v>100</v>
      </c>
      <c r="BZ183" s="45">
        <v>2000</v>
      </c>
    </row>
    <row r="184" spans="2:78" ht="26.25" thickBot="1">
      <c r="B184" s="280"/>
      <c r="C184" s="1"/>
      <c r="D184" s="297"/>
      <c r="E184" s="311"/>
      <c r="F184" s="303"/>
      <c r="G184" s="175">
        <v>3000</v>
      </c>
      <c r="H184" s="77">
        <v>2400</v>
      </c>
      <c r="I184" s="77">
        <v>10000</v>
      </c>
      <c r="J184" s="77">
        <v>10000</v>
      </c>
      <c r="K184" s="77">
        <v>50</v>
      </c>
      <c r="L184" s="77">
        <v>173</v>
      </c>
      <c r="M184" s="85" t="s">
        <v>228</v>
      </c>
      <c r="N184" s="78">
        <v>414383</v>
      </c>
      <c r="O184" s="77" t="s">
        <v>89</v>
      </c>
      <c r="P184" s="77">
        <v>8</v>
      </c>
      <c r="Q184" s="79" t="s">
        <v>198</v>
      </c>
      <c r="R184" s="79" t="s">
        <v>91</v>
      </c>
      <c r="S184" s="79" t="s">
        <v>199</v>
      </c>
      <c r="T184" s="80" t="s">
        <v>92</v>
      </c>
      <c r="U184" s="80" t="s">
        <v>93</v>
      </c>
      <c r="V184" s="77" t="s">
        <v>94</v>
      </c>
      <c r="W184" s="77">
        <v>31</v>
      </c>
      <c r="X184" s="81" t="s">
        <v>95</v>
      </c>
      <c r="Y184" s="81" t="s">
        <v>96</v>
      </c>
      <c r="Z184" s="88">
        <v>27000</v>
      </c>
      <c r="AA184" s="85" t="s">
        <v>207</v>
      </c>
      <c r="AB184" s="88">
        <v>4850</v>
      </c>
      <c r="AC184" s="176" t="s">
        <v>97</v>
      </c>
      <c r="AD184" s="177" t="s">
        <v>97</v>
      </c>
      <c r="AE184" s="35"/>
      <c r="AF184" s="37">
        <v>389520</v>
      </c>
      <c r="AG184" s="29" t="s">
        <v>98</v>
      </c>
      <c r="AH184" s="218">
        <v>39366</v>
      </c>
      <c r="AI184" s="219" t="s">
        <v>228</v>
      </c>
      <c r="AJ184" s="220">
        <v>27000</v>
      </c>
      <c r="AK184" s="220" t="s">
        <v>207</v>
      </c>
      <c r="AL184" s="220">
        <v>4850</v>
      </c>
      <c r="AM184" s="221" t="s">
        <v>94</v>
      </c>
      <c r="AN184" s="235">
        <v>68400</v>
      </c>
      <c r="AO184" s="236" t="s">
        <v>304</v>
      </c>
      <c r="AP184" s="236" t="s">
        <v>307</v>
      </c>
      <c r="AQ184" s="236">
        <v>3000</v>
      </c>
      <c r="AR184" s="236" t="s">
        <v>94</v>
      </c>
      <c r="AS184" s="236">
        <v>1500</v>
      </c>
      <c r="AT184" s="29">
        <v>41</v>
      </c>
      <c r="AU184" s="29" t="s">
        <v>100</v>
      </c>
      <c r="AV184" s="31">
        <v>42</v>
      </c>
      <c r="AW184" s="31" t="s">
        <v>100</v>
      </c>
      <c r="AX184" s="209"/>
      <c r="AY184" s="285"/>
      <c r="AZ184" s="285"/>
      <c r="BA184" s="286"/>
      <c r="BB184" s="286"/>
      <c r="BC184" s="44" t="s">
        <v>204</v>
      </c>
      <c r="BD184" s="33" t="s">
        <v>103</v>
      </c>
      <c r="BE184" s="271" t="s">
        <v>104</v>
      </c>
      <c r="BF184" s="271" t="s">
        <v>105</v>
      </c>
      <c r="BG184" s="269">
        <v>0</v>
      </c>
      <c r="BH184" s="42">
        <v>27000</v>
      </c>
      <c r="BI184" s="47" t="s">
        <v>100</v>
      </c>
      <c r="BJ184" s="32" t="s">
        <v>101</v>
      </c>
      <c r="BK184" s="32" t="s">
        <v>100</v>
      </c>
      <c r="BL184" s="26" t="s">
        <v>106</v>
      </c>
      <c r="BM184" s="26" t="s">
        <v>107</v>
      </c>
      <c r="BN184" s="209">
        <v>0</v>
      </c>
      <c r="BO184" s="26" t="s">
        <v>108</v>
      </c>
      <c r="BP184" s="34" t="s">
        <v>109</v>
      </c>
      <c r="BQ184" s="209">
        <v>4000</v>
      </c>
      <c r="BR184" s="26" t="s">
        <v>108</v>
      </c>
      <c r="BS184" s="34" t="s">
        <v>110</v>
      </c>
      <c r="BT184" s="209">
        <v>5500</v>
      </c>
      <c r="BU184" s="211">
        <v>11000</v>
      </c>
      <c r="BV184" s="212" t="s">
        <v>100</v>
      </c>
      <c r="BW184" s="212" t="s">
        <v>286</v>
      </c>
      <c r="BX184" s="213" t="s">
        <v>100</v>
      </c>
      <c r="BY184" s="213" t="s">
        <v>100</v>
      </c>
      <c r="BZ184" s="45">
        <v>2000</v>
      </c>
    </row>
    <row r="185" spans="2:78" ht="13.5" thickBot="1">
      <c r="C185" s="1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  <c r="AX185" s="287"/>
      <c r="AY185" s="287"/>
      <c r="AZ185" s="287"/>
      <c r="BA185" s="287"/>
      <c r="BB185" s="287"/>
      <c r="BC185" s="36"/>
      <c r="BD185" s="36"/>
      <c r="BE185" s="36"/>
      <c r="BF185" s="36"/>
      <c r="BG185" s="36"/>
      <c r="BH185" s="36"/>
      <c r="BI185" s="36"/>
      <c r="BJ185" s="36"/>
      <c r="BK185" s="36"/>
      <c r="BL185" s="36"/>
      <c r="BM185" s="36"/>
      <c r="BN185" s="36"/>
      <c r="BO185" s="36"/>
      <c r="BP185" s="36"/>
      <c r="BQ185" s="36"/>
      <c r="BR185" s="36"/>
      <c r="BS185" s="36"/>
      <c r="BT185" s="36"/>
      <c r="BZ185" s="36"/>
    </row>
    <row r="186" spans="2:78" ht="25.5" customHeight="1">
      <c r="C186" s="1"/>
      <c r="D186" s="295">
        <v>8</v>
      </c>
      <c r="E186" s="298" t="s">
        <v>347</v>
      </c>
      <c r="F186" s="301" t="s">
        <v>346</v>
      </c>
      <c r="G186" s="67">
        <v>250</v>
      </c>
      <c r="H186" s="68">
        <v>200</v>
      </c>
      <c r="I186" s="68">
        <v>10000</v>
      </c>
      <c r="J186" s="68">
        <v>10000</v>
      </c>
      <c r="K186" s="68">
        <v>50</v>
      </c>
      <c r="L186" s="68">
        <v>15</v>
      </c>
      <c r="M186" s="83" t="s">
        <v>224</v>
      </c>
      <c r="N186" s="196">
        <f>N154+13607</f>
        <v>200009</v>
      </c>
      <c r="O186" s="68" t="s">
        <v>89</v>
      </c>
      <c r="P186" s="68">
        <v>9</v>
      </c>
      <c r="Q186" s="70" t="s">
        <v>198</v>
      </c>
      <c r="R186" s="70" t="s">
        <v>91</v>
      </c>
      <c r="S186" s="70" t="s">
        <v>199</v>
      </c>
      <c r="T186" s="71" t="s">
        <v>92</v>
      </c>
      <c r="U186" s="71" t="s">
        <v>93</v>
      </c>
      <c r="V186" s="68" t="s">
        <v>94</v>
      </c>
      <c r="W186" s="68">
        <v>31</v>
      </c>
      <c r="X186" s="72" t="s">
        <v>95</v>
      </c>
      <c r="Y186" s="72" t="s">
        <v>96</v>
      </c>
      <c r="Z186" s="86">
        <v>6000</v>
      </c>
      <c r="AA186" s="83" t="s">
        <v>205</v>
      </c>
      <c r="AB186" s="86">
        <v>3960</v>
      </c>
      <c r="AC186" s="68" t="s">
        <v>97</v>
      </c>
      <c r="AD186" s="73" t="s">
        <v>97</v>
      </c>
      <c r="AE186" s="28"/>
      <c r="AF186" s="37">
        <f>AF154+13607</f>
        <v>188825</v>
      </c>
      <c r="AG186" s="29" t="s">
        <v>98</v>
      </c>
      <c r="AH186" s="226">
        <v>17708</v>
      </c>
      <c r="AI186" s="48" t="s">
        <v>224</v>
      </c>
      <c r="AJ186" s="39">
        <v>6000</v>
      </c>
      <c r="AK186" s="39" t="s">
        <v>205</v>
      </c>
      <c r="AL186" s="39">
        <v>3960</v>
      </c>
      <c r="AM186" s="30" t="s">
        <v>94</v>
      </c>
      <c r="AN186" s="40">
        <v>55100</v>
      </c>
      <c r="AO186" s="41" t="s">
        <v>331</v>
      </c>
      <c r="AP186" s="41" t="s">
        <v>332</v>
      </c>
      <c r="AQ186" s="27">
        <v>3000</v>
      </c>
      <c r="AR186" s="27" t="s">
        <v>94</v>
      </c>
      <c r="AS186" s="27">
        <v>900</v>
      </c>
      <c r="AT186" s="29">
        <v>41</v>
      </c>
      <c r="AU186" s="29" t="s">
        <v>100</v>
      </c>
      <c r="AV186" s="31">
        <v>42</v>
      </c>
      <c r="AW186" s="31" t="s">
        <v>100</v>
      </c>
      <c r="AX186" s="209"/>
      <c r="AY186" s="285"/>
      <c r="AZ186" s="285"/>
      <c r="BA186" s="286"/>
      <c r="BB186" s="286"/>
      <c r="BC186" s="44" t="s">
        <v>204</v>
      </c>
      <c r="BD186" s="33" t="s">
        <v>103</v>
      </c>
      <c r="BE186" s="271" t="s">
        <v>104</v>
      </c>
      <c r="BF186" s="271" t="s">
        <v>105</v>
      </c>
      <c r="BG186" s="269">
        <v>0</v>
      </c>
      <c r="BH186" s="42">
        <v>24000</v>
      </c>
      <c r="BI186" s="47" t="s">
        <v>100</v>
      </c>
      <c r="BJ186" s="32" t="s">
        <v>309</v>
      </c>
      <c r="BK186" s="32">
        <v>500</v>
      </c>
      <c r="BL186" s="26" t="s">
        <v>106</v>
      </c>
      <c r="BM186" s="26" t="s">
        <v>107</v>
      </c>
      <c r="BN186" s="209">
        <v>0</v>
      </c>
      <c r="BO186" s="26" t="s">
        <v>108</v>
      </c>
      <c r="BP186" s="34" t="s">
        <v>109</v>
      </c>
      <c r="BQ186" s="209">
        <v>4000</v>
      </c>
      <c r="BR186" s="26" t="s">
        <v>108</v>
      </c>
      <c r="BS186" s="34" t="s">
        <v>110</v>
      </c>
      <c r="BT186" s="209">
        <v>5500</v>
      </c>
      <c r="BU186" s="211">
        <v>11000</v>
      </c>
      <c r="BV186" s="212" t="s">
        <v>100</v>
      </c>
      <c r="BW186" s="212" t="s">
        <v>286</v>
      </c>
      <c r="BX186" s="213" t="s">
        <v>100</v>
      </c>
      <c r="BY186" s="213" t="s">
        <v>100</v>
      </c>
      <c r="BZ186" s="45">
        <v>2000</v>
      </c>
    </row>
    <row r="187" spans="2:78" ht="25.5">
      <c r="C187" s="1"/>
      <c r="D187" s="296"/>
      <c r="E187" s="299"/>
      <c r="F187" s="302"/>
      <c r="G187" s="74">
        <v>315</v>
      </c>
      <c r="H187" s="62">
        <v>250</v>
      </c>
      <c r="I187" s="62">
        <v>10000</v>
      </c>
      <c r="J187" s="62">
        <v>10000</v>
      </c>
      <c r="K187" s="62">
        <v>50</v>
      </c>
      <c r="L187" s="62">
        <v>19</v>
      </c>
      <c r="M187" s="84" t="s">
        <v>224</v>
      </c>
      <c r="N187" s="197">
        <f>N155+13716</f>
        <v>201605</v>
      </c>
      <c r="O187" s="62" t="s">
        <v>89</v>
      </c>
      <c r="P187" s="62">
        <v>9</v>
      </c>
      <c r="Q187" s="64" t="s">
        <v>198</v>
      </c>
      <c r="R187" s="64" t="s">
        <v>91</v>
      </c>
      <c r="S187" s="64" t="s">
        <v>199</v>
      </c>
      <c r="T187" s="65" t="s">
        <v>92</v>
      </c>
      <c r="U187" s="65" t="s">
        <v>93</v>
      </c>
      <c r="V187" s="62" t="s">
        <v>94</v>
      </c>
      <c r="W187" s="62">
        <v>31</v>
      </c>
      <c r="X187" s="66" t="s">
        <v>95</v>
      </c>
      <c r="Y187" s="66" t="s">
        <v>96</v>
      </c>
      <c r="Z187" s="87">
        <v>6000</v>
      </c>
      <c r="AA187" s="84" t="s">
        <v>205</v>
      </c>
      <c r="AB187" s="87">
        <v>3960</v>
      </c>
      <c r="AC187" s="62" t="s">
        <v>97</v>
      </c>
      <c r="AD187" s="75" t="s">
        <v>97</v>
      </c>
      <c r="AE187" s="35"/>
      <c r="AF187" s="37">
        <f>AF155+13716</f>
        <v>190332</v>
      </c>
      <c r="AG187" s="29" t="s">
        <v>98</v>
      </c>
      <c r="AH187" s="226">
        <v>17849</v>
      </c>
      <c r="AI187" s="48" t="s">
        <v>224</v>
      </c>
      <c r="AJ187" s="39">
        <v>6000</v>
      </c>
      <c r="AK187" s="39" t="s">
        <v>205</v>
      </c>
      <c r="AL187" s="39">
        <v>3960</v>
      </c>
      <c r="AM187" s="30" t="s">
        <v>94</v>
      </c>
      <c r="AN187" s="40">
        <v>55100</v>
      </c>
      <c r="AO187" s="41" t="s">
        <v>331</v>
      </c>
      <c r="AP187" s="41" t="s">
        <v>332</v>
      </c>
      <c r="AQ187" s="27">
        <v>3000</v>
      </c>
      <c r="AR187" s="27" t="s">
        <v>94</v>
      </c>
      <c r="AS187" s="27">
        <v>900</v>
      </c>
      <c r="AT187" s="29">
        <v>41</v>
      </c>
      <c r="AU187" s="29" t="s">
        <v>100</v>
      </c>
      <c r="AV187" s="31">
        <v>42</v>
      </c>
      <c r="AW187" s="31" t="s">
        <v>100</v>
      </c>
      <c r="AX187" s="209"/>
      <c r="AY187" s="285"/>
      <c r="AZ187" s="285"/>
      <c r="BA187" s="286"/>
      <c r="BB187" s="286"/>
      <c r="BC187" s="44" t="s">
        <v>204</v>
      </c>
      <c r="BD187" s="33" t="s">
        <v>103</v>
      </c>
      <c r="BE187" s="271" t="s">
        <v>104</v>
      </c>
      <c r="BF187" s="271" t="s">
        <v>105</v>
      </c>
      <c r="BG187" s="269">
        <v>0</v>
      </c>
      <c r="BH187" s="42">
        <v>24000</v>
      </c>
      <c r="BI187" s="47" t="s">
        <v>100</v>
      </c>
      <c r="BJ187" s="32" t="s">
        <v>309</v>
      </c>
      <c r="BK187" s="32">
        <v>500</v>
      </c>
      <c r="BL187" s="26" t="s">
        <v>106</v>
      </c>
      <c r="BM187" s="26" t="s">
        <v>107</v>
      </c>
      <c r="BN187" s="209">
        <v>0</v>
      </c>
      <c r="BO187" s="26" t="s">
        <v>108</v>
      </c>
      <c r="BP187" s="34" t="s">
        <v>109</v>
      </c>
      <c r="BQ187" s="209">
        <v>4000</v>
      </c>
      <c r="BR187" s="26" t="s">
        <v>108</v>
      </c>
      <c r="BS187" s="34" t="s">
        <v>110</v>
      </c>
      <c r="BT187" s="209">
        <v>5500</v>
      </c>
      <c r="BU187" s="211">
        <v>11000</v>
      </c>
      <c r="BV187" s="212" t="s">
        <v>100</v>
      </c>
      <c r="BW187" s="212" t="s">
        <v>286</v>
      </c>
      <c r="BX187" s="213" t="s">
        <v>100</v>
      </c>
      <c r="BY187" s="213" t="s">
        <v>100</v>
      </c>
      <c r="BZ187" s="45">
        <v>2000</v>
      </c>
    </row>
    <row r="188" spans="2:78" ht="25.5">
      <c r="C188" s="1"/>
      <c r="D188" s="296"/>
      <c r="E188" s="299"/>
      <c r="F188" s="302"/>
      <c r="G188" s="74">
        <v>350</v>
      </c>
      <c r="H188" s="62">
        <v>280</v>
      </c>
      <c r="I188" s="62">
        <v>10000</v>
      </c>
      <c r="J188" s="62">
        <v>10000</v>
      </c>
      <c r="K188" s="62">
        <v>50</v>
      </c>
      <c r="L188" s="62">
        <v>21</v>
      </c>
      <c r="M188" s="84" t="s">
        <v>224</v>
      </c>
      <c r="N188" s="197">
        <f>N156+13774</f>
        <v>202464</v>
      </c>
      <c r="O188" s="62" t="s">
        <v>89</v>
      </c>
      <c r="P188" s="62">
        <v>9</v>
      </c>
      <c r="Q188" s="64" t="s">
        <v>198</v>
      </c>
      <c r="R188" s="64" t="s">
        <v>91</v>
      </c>
      <c r="S188" s="64" t="s">
        <v>199</v>
      </c>
      <c r="T188" s="65" t="s">
        <v>92</v>
      </c>
      <c r="U188" s="65" t="s">
        <v>93</v>
      </c>
      <c r="V188" s="62" t="s">
        <v>94</v>
      </c>
      <c r="W188" s="62">
        <v>31</v>
      </c>
      <c r="X188" s="66" t="s">
        <v>95</v>
      </c>
      <c r="Y188" s="66" t="s">
        <v>96</v>
      </c>
      <c r="Z188" s="87">
        <v>6000</v>
      </c>
      <c r="AA188" s="84" t="s">
        <v>205</v>
      </c>
      <c r="AB188" s="87">
        <v>3960</v>
      </c>
      <c r="AC188" s="62" t="s">
        <v>97</v>
      </c>
      <c r="AD188" s="75" t="s">
        <v>97</v>
      </c>
      <c r="AE188" s="35"/>
      <c r="AF188" s="37">
        <f>AF156+13774</f>
        <v>191143</v>
      </c>
      <c r="AG188" s="29" t="s">
        <v>98</v>
      </c>
      <c r="AH188" s="226">
        <v>17926</v>
      </c>
      <c r="AI188" s="48" t="s">
        <v>224</v>
      </c>
      <c r="AJ188" s="39">
        <v>6000</v>
      </c>
      <c r="AK188" s="39" t="s">
        <v>205</v>
      </c>
      <c r="AL188" s="39">
        <v>3960</v>
      </c>
      <c r="AM188" s="30" t="s">
        <v>94</v>
      </c>
      <c r="AN188" s="40">
        <v>55100</v>
      </c>
      <c r="AO188" s="41" t="s">
        <v>331</v>
      </c>
      <c r="AP188" s="41" t="s">
        <v>332</v>
      </c>
      <c r="AQ188" s="27">
        <v>3000</v>
      </c>
      <c r="AR188" s="27" t="s">
        <v>94</v>
      </c>
      <c r="AS188" s="27">
        <v>900</v>
      </c>
      <c r="AT188" s="29">
        <v>41</v>
      </c>
      <c r="AU188" s="29" t="s">
        <v>100</v>
      </c>
      <c r="AV188" s="31">
        <v>42</v>
      </c>
      <c r="AW188" s="31" t="s">
        <v>100</v>
      </c>
      <c r="AX188" s="209"/>
      <c r="AY188" s="285"/>
      <c r="AZ188" s="285"/>
      <c r="BA188" s="286"/>
      <c r="BB188" s="286"/>
      <c r="BC188" s="44" t="s">
        <v>204</v>
      </c>
      <c r="BD188" s="33" t="s">
        <v>103</v>
      </c>
      <c r="BE188" s="271" t="s">
        <v>104</v>
      </c>
      <c r="BF188" s="271" t="s">
        <v>105</v>
      </c>
      <c r="BG188" s="269">
        <v>0</v>
      </c>
      <c r="BH188" s="42">
        <v>24000</v>
      </c>
      <c r="BI188" s="47" t="s">
        <v>100</v>
      </c>
      <c r="BJ188" s="32" t="s">
        <v>309</v>
      </c>
      <c r="BK188" s="32">
        <v>500</v>
      </c>
      <c r="BL188" s="26" t="s">
        <v>106</v>
      </c>
      <c r="BM188" s="26" t="s">
        <v>107</v>
      </c>
      <c r="BN188" s="209">
        <v>0</v>
      </c>
      <c r="BO188" s="26" t="s">
        <v>108</v>
      </c>
      <c r="BP188" s="34" t="s">
        <v>109</v>
      </c>
      <c r="BQ188" s="209">
        <v>4000</v>
      </c>
      <c r="BR188" s="26" t="s">
        <v>108</v>
      </c>
      <c r="BS188" s="34" t="s">
        <v>110</v>
      </c>
      <c r="BT188" s="209">
        <v>5500</v>
      </c>
      <c r="BU188" s="211">
        <v>11000</v>
      </c>
      <c r="BV188" s="212" t="s">
        <v>100</v>
      </c>
      <c r="BW188" s="212" t="s">
        <v>286</v>
      </c>
      <c r="BX188" s="213" t="s">
        <v>100</v>
      </c>
      <c r="BY188" s="213" t="s">
        <v>100</v>
      </c>
      <c r="BZ188" s="45">
        <v>2000</v>
      </c>
    </row>
    <row r="189" spans="2:78" ht="25.5">
      <c r="C189" s="1"/>
      <c r="D189" s="296"/>
      <c r="E189" s="299"/>
      <c r="F189" s="302"/>
      <c r="G189" s="74">
        <v>375</v>
      </c>
      <c r="H189" s="62">
        <v>300</v>
      </c>
      <c r="I189" s="62">
        <v>10000</v>
      </c>
      <c r="J189" s="62">
        <v>10000</v>
      </c>
      <c r="K189" s="62">
        <v>50</v>
      </c>
      <c r="L189" s="62">
        <v>23</v>
      </c>
      <c r="M189" s="84" t="s">
        <v>224</v>
      </c>
      <c r="N189" s="197">
        <f>N157+13816</f>
        <v>203076</v>
      </c>
      <c r="O189" s="62" t="s">
        <v>89</v>
      </c>
      <c r="P189" s="62">
        <v>9</v>
      </c>
      <c r="Q189" s="64" t="s">
        <v>198</v>
      </c>
      <c r="R189" s="64" t="s">
        <v>91</v>
      </c>
      <c r="S189" s="64" t="s">
        <v>199</v>
      </c>
      <c r="T189" s="65" t="s">
        <v>92</v>
      </c>
      <c r="U189" s="65" t="s">
        <v>93</v>
      </c>
      <c r="V189" s="62" t="s">
        <v>94</v>
      </c>
      <c r="W189" s="62">
        <v>31</v>
      </c>
      <c r="X189" s="66" t="s">
        <v>95</v>
      </c>
      <c r="Y189" s="66" t="s">
        <v>96</v>
      </c>
      <c r="Z189" s="87">
        <v>6000</v>
      </c>
      <c r="AA189" s="84" t="s">
        <v>205</v>
      </c>
      <c r="AB189" s="87">
        <v>3960</v>
      </c>
      <c r="AC189" s="62" t="s">
        <v>97</v>
      </c>
      <c r="AD189" s="75" t="s">
        <v>97</v>
      </c>
      <c r="AE189" s="35"/>
      <c r="AF189" s="37">
        <f>AF157+13816</f>
        <v>191720</v>
      </c>
      <c r="AG189" s="29" t="s">
        <v>98</v>
      </c>
      <c r="AH189" s="226">
        <v>17980</v>
      </c>
      <c r="AI189" s="48" t="s">
        <v>224</v>
      </c>
      <c r="AJ189" s="39">
        <v>6000</v>
      </c>
      <c r="AK189" s="39" t="s">
        <v>205</v>
      </c>
      <c r="AL189" s="39">
        <v>3960</v>
      </c>
      <c r="AM189" s="30" t="s">
        <v>94</v>
      </c>
      <c r="AN189" s="40">
        <v>55100</v>
      </c>
      <c r="AO189" s="41" t="s">
        <v>331</v>
      </c>
      <c r="AP189" s="41" t="s">
        <v>332</v>
      </c>
      <c r="AQ189" s="27">
        <v>3000</v>
      </c>
      <c r="AR189" s="27" t="s">
        <v>94</v>
      </c>
      <c r="AS189" s="27">
        <v>900</v>
      </c>
      <c r="AT189" s="29">
        <v>41</v>
      </c>
      <c r="AU189" s="29" t="s">
        <v>100</v>
      </c>
      <c r="AV189" s="31">
        <v>42</v>
      </c>
      <c r="AW189" s="31" t="s">
        <v>100</v>
      </c>
      <c r="AX189" s="209"/>
      <c r="AY189" s="285"/>
      <c r="AZ189" s="285"/>
      <c r="BA189" s="286"/>
      <c r="BB189" s="286"/>
      <c r="BC189" s="44" t="s">
        <v>204</v>
      </c>
      <c r="BD189" s="33" t="s">
        <v>103</v>
      </c>
      <c r="BE189" s="271" t="s">
        <v>104</v>
      </c>
      <c r="BF189" s="271" t="s">
        <v>105</v>
      </c>
      <c r="BG189" s="269">
        <v>0</v>
      </c>
      <c r="BH189" s="42">
        <v>24000</v>
      </c>
      <c r="BI189" s="47" t="s">
        <v>100</v>
      </c>
      <c r="BJ189" s="32" t="s">
        <v>309</v>
      </c>
      <c r="BK189" s="32">
        <v>500</v>
      </c>
      <c r="BL189" s="26" t="s">
        <v>106</v>
      </c>
      <c r="BM189" s="26" t="s">
        <v>107</v>
      </c>
      <c r="BN189" s="209">
        <v>0</v>
      </c>
      <c r="BO189" s="26" t="s">
        <v>108</v>
      </c>
      <c r="BP189" s="34" t="s">
        <v>109</v>
      </c>
      <c r="BQ189" s="209">
        <v>4000</v>
      </c>
      <c r="BR189" s="26" t="s">
        <v>108</v>
      </c>
      <c r="BS189" s="34" t="s">
        <v>110</v>
      </c>
      <c r="BT189" s="209">
        <v>5500</v>
      </c>
      <c r="BU189" s="211">
        <v>11000</v>
      </c>
      <c r="BV189" s="212" t="s">
        <v>100</v>
      </c>
      <c r="BW189" s="212" t="s">
        <v>286</v>
      </c>
      <c r="BX189" s="213" t="s">
        <v>100</v>
      </c>
      <c r="BY189" s="213" t="s">
        <v>100</v>
      </c>
      <c r="BZ189" s="45">
        <v>2000</v>
      </c>
    </row>
    <row r="190" spans="2:78" ht="25.5">
      <c r="C190" s="1"/>
      <c r="D190" s="296"/>
      <c r="E190" s="299"/>
      <c r="F190" s="302"/>
      <c r="G190" s="74">
        <v>420</v>
      </c>
      <c r="H190" s="62">
        <v>335</v>
      </c>
      <c r="I190" s="62">
        <v>10000</v>
      </c>
      <c r="J190" s="62">
        <v>10000</v>
      </c>
      <c r="K190" s="62">
        <v>50</v>
      </c>
      <c r="L190" s="62">
        <v>25</v>
      </c>
      <c r="M190" s="84" t="s">
        <v>224</v>
      </c>
      <c r="N190" s="197">
        <f>N158+14308</f>
        <v>210313</v>
      </c>
      <c r="O190" s="62" t="s">
        <v>89</v>
      </c>
      <c r="P190" s="62">
        <v>9</v>
      </c>
      <c r="Q190" s="64" t="s">
        <v>198</v>
      </c>
      <c r="R190" s="64" t="s">
        <v>91</v>
      </c>
      <c r="S190" s="64" t="s">
        <v>199</v>
      </c>
      <c r="T190" s="65" t="s">
        <v>92</v>
      </c>
      <c r="U190" s="65" t="s">
        <v>93</v>
      </c>
      <c r="V190" s="62" t="s">
        <v>94</v>
      </c>
      <c r="W190" s="62">
        <v>31</v>
      </c>
      <c r="X190" s="66" t="s">
        <v>95</v>
      </c>
      <c r="Y190" s="66" t="s">
        <v>96</v>
      </c>
      <c r="Z190" s="87">
        <v>6000</v>
      </c>
      <c r="AA190" s="84" t="s">
        <v>205</v>
      </c>
      <c r="AB190" s="87">
        <v>3960</v>
      </c>
      <c r="AC190" s="62" t="s">
        <v>97</v>
      </c>
      <c r="AD190" s="75" t="s">
        <v>97</v>
      </c>
      <c r="AE190" s="35"/>
      <c r="AF190" s="37">
        <f>AF158+14308</f>
        <v>198553</v>
      </c>
      <c r="AG190" s="29" t="s">
        <v>98</v>
      </c>
      <c r="AH190" s="226">
        <v>18620</v>
      </c>
      <c r="AI190" s="48" t="s">
        <v>224</v>
      </c>
      <c r="AJ190" s="39">
        <v>6000</v>
      </c>
      <c r="AK190" s="39" t="s">
        <v>205</v>
      </c>
      <c r="AL190" s="39">
        <v>3960</v>
      </c>
      <c r="AM190" s="30" t="s">
        <v>94</v>
      </c>
      <c r="AN190" s="40">
        <v>55100</v>
      </c>
      <c r="AO190" s="41" t="s">
        <v>331</v>
      </c>
      <c r="AP190" s="41" t="s">
        <v>332</v>
      </c>
      <c r="AQ190" s="27">
        <v>3000</v>
      </c>
      <c r="AR190" s="27" t="s">
        <v>94</v>
      </c>
      <c r="AS190" s="27">
        <v>900</v>
      </c>
      <c r="AT190" s="29">
        <v>41</v>
      </c>
      <c r="AU190" s="29" t="s">
        <v>100</v>
      </c>
      <c r="AV190" s="31">
        <v>42</v>
      </c>
      <c r="AW190" s="31" t="s">
        <v>100</v>
      </c>
      <c r="AX190" s="209"/>
      <c r="AY190" s="285"/>
      <c r="AZ190" s="285"/>
      <c r="BA190" s="286"/>
      <c r="BB190" s="286"/>
      <c r="BC190" s="44" t="s">
        <v>204</v>
      </c>
      <c r="BD190" s="33" t="s">
        <v>103</v>
      </c>
      <c r="BE190" s="271" t="s">
        <v>104</v>
      </c>
      <c r="BF190" s="271" t="s">
        <v>105</v>
      </c>
      <c r="BG190" s="269">
        <v>0</v>
      </c>
      <c r="BH190" s="42">
        <v>24000</v>
      </c>
      <c r="BI190" s="47" t="s">
        <v>100</v>
      </c>
      <c r="BJ190" s="32" t="s">
        <v>309</v>
      </c>
      <c r="BK190" s="32">
        <v>500</v>
      </c>
      <c r="BL190" s="26" t="s">
        <v>106</v>
      </c>
      <c r="BM190" s="26" t="s">
        <v>107</v>
      </c>
      <c r="BN190" s="209">
        <v>0</v>
      </c>
      <c r="BO190" s="26" t="s">
        <v>108</v>
      </c>
      <c r="BP190" s="34" t="s">
        <v>109</v>
      </c>
      <c r="BQ190" s="209">
        <v>4000</v>
      </c>
      <c r="BR190" s="26" t="s">
        <v>108</v>
      </c>
      <c r="BS190" s="34" t="s">
        <v>110</v>
      </c>
      <c r="BT190" s="209">
        <v>5500</v>
      </c>
      <c r="BU190" s="211">
        <v>11000</v>
      </c>
      <c r="BV190" s="212" t="s">
        <v>100</v>
      </c>
      <c r="BW190" s="212" t="s">
        <v>286</v>
      </c>
      <c r="BX190" s="213" t="s">
        <v>100</v>
      </c>
      <c r="BY190" s="213" t="s">
        <v>100</v>
      </c>
      <c r="BZ190" s="45">
        <v>2000</v>
      </c>
    </row>
    <row r="191" spans="2:78" ht="25.5">
      <c r="C191" s="1"/>
      <c r="D191" s="296"/>
      <c r="E191" s="299"/>
      <c r="F191" s="302"/>
      <c r="G191" s="74">
        <v>445</v>
      </c>
      <c r="H191" s="62">
        <v>355</v>
      </c>
      <c r="I191" s="62">
        <v>10000</v>
      </c>
      <c r="J191" s="62">
        <v>10000</v>
      </c>
      <c r="K191" s="62">
        <v>50</v>
      </c>
      <c r="L191" s="62">
        <v>27</v>
      </c>
      <c r="M191" s="84" t="s">
        <v>224</v>
      </c>
      <c r="N191" s="197">
        <f>N159+14402</f>
        <v>211688</v>
      </c>
      <c r="O191" s="62" t="s">
        <v>89</v>
      </c>
      <c r="P191" s="62">
        <v>9</v>
      </c>
      <c r="Q191" s="64" t="s">
        <v>198</v>
      </c>
      <c r="R191" s="64" t="s">
        <v>91</v>
      </c>
      <c r="S191" s="64" t="s">
        <v>199</v>
      </c>
      <c r="T191" s="65" t="s">
        <v>92</v>
      </c>
      <c r="U191" s="65" t="s">
        <v>93</v>
      </c>
      <c r="V191" s="62" t="s">
        <v>94</v>
      </c>
      <c r="W191" s="62">
        <v>31</v>
      </c>
      <c r="X191" s="66" t="s">
        <v>95</v>
      </c>
      <c r="Y191" s="66" t="s">
        <v>96</v>
      </c>
      <c r="Z191" s="87">
        <v>6000</v>
      </c>
      <c r="AA191" s="84" t="s">
        <v>205</v>
      </c>
      <c r="AB191" s="87">
        <v>3960</v>
      </c>
      <c r="AC191" s="62" t="s">
        <v>97</v>
      </c>
      <c r="AD191" s="75" t="s">
        <v>97</v>
      </c>
      <c r="AE191" s="35"/>
      <c r="AF191" s="37">
        <f>AF159+14402</f>
        <v>199851</v>
      </c>
      <c r="AG191" s="29" t="s">
        <v>98</v>
      </c>
      <c r="AH191" s="226">
        <v>18742</v>
      </c>
      <c r="AI191" s="48" t="s">
        <v>224</v>
      </c>
      <c r="AJ191" s="39">
        <v>6000</v>
      </c>
      <c r="AK191" s="39" t="s">
        <v>205</v>
      </c>
      <c r="AL191" s="39">
        <v>3960</v>
      </c>
      <c r="AM191" s="30" t="s">
        <v>94</v>
      </c>
      <c r="AN191" s="40">
        <v>55100</v>
      </c>
      <c r="AO191" s="41" t="s">
        <v>331</v>
      </c>
      <c r="AP191" s="41" t="s">
        <v>332</v>
      </c>
      <c r="AQ191" s="27">
        <v>3000</v>
      </c>
      <c r="AR191" s="27" t="s">
        <v>94</v>
      </c>
      <c r="AS191" s="27">
        <v>900</v>
      </c>
      <c r="AT191" s="29">
        <v>41</v>
      </c>
      <c r="AU191" s="29" t="s">
        <v>100</v>
      </c>
      <c r="AV191" s="31">
        <v>42</v>
      </c>
      <c r="AW191" s="31" t="s">
        <v>100</v>
      </c>
      <c r="AX191" s="209"/>
      <c r="AY191" s="285"/>
      <c r="AZ191" s="285"/>
      <c r="BA191" s="286"/>
      <c r="BB191" s="286"/>
      <c r="BC191" s="44" t="s">
        <v>204</v>
      </c>
      <c r="BD191" s="33" t="s">
        <v>103</v>
      </c>
      <c r="BE191" s="271" t="s">
        <v>104</v>
      </c>
      <c r="BF191" s="271" t="s">
        <v>105</v>
      </c>
      <c r="BG191" s="269">
        <v>0</v>
      </c>
      <c r="BH191" s="42">
        <v>24000</v>
      </c>
      <c r="BI191" s="47" t="s">
        <v>100</v>
      </c>
      <c r="BJ191" s="32" t="s">
        <v>309</v>
      </c>
      <c r="BK191" s="32">
        <v>500</v>
      </c>
      <c r="BL191" s="26" t="s">
        <v>106</v>
      </c>
      <c r="BM191" s="26" t="s">
        <v>107</v>
      </c>
      <c r="BN191" s="209">
        <v>0</v>
      </c>
      <c r="BO191" s="26" t="s">
        <v>108</v>
      </c>
      <c r="BP191" s="34" t="s">
        <v>109</v>
      </c>
      <c r="BQ191" s="209">
        <v>4000</v>
      </c>
      <c r="BR191" s="26" t="s">
        <v>108</v>
      </c>
      <c r="BS191" s="34" t="s">
        <v>110</v>
      </c>
      <c r="BT191" s="209">
        <v>5500</v>
      </c>
      <c r="BU191" s="211">
        <v>11000</v>
      </c>
      <c r="BV191" s="212" t="s">
        <v>100</v>
      </c>
      <c r="BW191" s="212" t="s">
        <v>286</v>
      </c>
      <c r="BX191" s="213" t="s">
        <v>100</v>
      </c>
      <c r="BY191" s="213" t="s">
        <v>100</v>
      </c>
      <c r="BZ191" s="45">
        <v>2000</v>
      </c>
    </row>
    <row r="192" spans="2:78" ht="25.5">
      <c r="C192" s="1"/>
      <c r="D192" s="296"/>
      <c r="E192" s="299"/>
      <c r="F192" s="302"/>
      <c r="G192" s="74">
        <v>470</v>
      </c>
      <c r="H192" s="62">
        <v>375</v>
      </c>
      <c r="I192" s="62">
        <v>10000</v>
      </c>
      <c r="J192" s="62">
        <v>10000</v>
      </c>
      <c r="K192" s="62">
        <v>50</v>
      </c>
      <c r="L192" s="62">
        <v>28</v>
      </c>
      <c r="M192" s="84" t="s">
        <v>224</v>
      </c>
      <c r="N192" s="197">
        <f>N160+14477</f>
        <v>212788</v>
      </c>
      <c r="O192" s="62" t="s">
        <v>89</v>
      </c>
      <c r="P192" s="62">
        <v>9</v>
      </c>
      <c r="Q192" s="64" t="s">
        <v>198</v>
      </c>
      <c r="R192" s="64" t="s">
        <v>91</v>
      </c>
      <c r="S192" s="64" t="s">
        <v>199</v>
      </c>
      <c r="T192" s="65" t="s">
        <v>92</v>
      </c>
      <c r="U192" s="65" t="s">
        <v>93</v>
      </c>
      <c r="V192" s="62" t="s">
        <v>94</v>
      </c>
      <c r="W192" s="62">
        <v>31</v>
      </c>
      <c r="X192" s="66" t="s">
        <v>95</v>
      </c>
      <c r="Y192" s="66" t="s">
        <v>96</v>
      </c>
      <c r="Z192" s="87">
        <v>6000</v>
      </c>
      <c r="AA192" s="84" t="s">
        <v>205</v>
      </c>
      <c r="AB192" s="87">
        <v>3960</v>
      </c>
      <c r="AC192" s="62" t="s">
        <v>97</v>
      </c>
      <c r="AD192" s="75" t="s">
        <v>97</v>
      </c>
      <c r="AE192" s="35"/>
      <c r="AF192" s="37">
        <f>AF160+14477</f>
        <v>200889</v>
      </c>
      <c r="AG192" s="29" t="s">
        <v>98</v>
      </c>
      <c r="AH192" s="226">
        <v>18840</v>
      </c>
      <c r="AI192" s="48" t="s">
        <v>224</v>
      </c>
      <c r="AJ192" s="39">
        <v>6000</v>
      </c>
      <c r="AK192" s="39" t="s">
        <v>205</v>
      </c>
      <c r="AL192" s="39">
        <v>3960</v>
      </c>
      <c r="AM192" s="30" t="s">
        <v>94</v>
      </c>
      <c r="AN192" s="40">
        <v>55100</v>
      </c>
      <c r="AO192" s="41" t="s">
        <v>331</v>
      </c>
      <c r="AP192" s="41" t="s">
        <v>332</v>
      </c>
      <c r="AQ192" s="27">
        <v>3000</v>
      </c>
      <c r="AR192" s="27" t="s">
        <v>94</v>
      </c>
      <c r="AS192" s="27">
        <v>900</v>
      </c>
      <c r="AT192" s="29">
        <v>41</v>
      </c>
      <c r="AU192" s="29" t="s">
        <v>100</v>
      </c>
      <c r="AV192" s="31">
        <v>42</v>
      </c>
      <c r="AW192" s="31" t="s">
        <v>100</v>
      </c>
      <c r="AX192" s="209"/>
      <c r="AY192" s="285"/>
      <c r="AZ192" s="285"/>
      <c r="BA192" s="286"/>
      <c r="BB192" s="286"/>
      <c r="BC192" s="44" t="s">
        <v>204</v>
      </c>
      <c r="BD192" s="33" t="s">
        <v>103</v>
      </c>
      <c r="BE192" s="271" t="s">
        <v>104</v>
      </c>
      <c r="BF192" s="271" t="s">
        <v>105</v>
      </c>
      <c r="BG192" s="269">
        <v>0</v>
      </c>
      <c r="BH192" s="42">
        <v>24000</v>
      </c>
      <c r="BI192" s="47" t="s">
        <v>100</v>
      </c>
      <c r="BJ192" s="32" t="s">
        <v>309</v>
      </c>
      <c r="BK192" s="32">
        <v>500</v>
      </c>
      <c r="BL192" s="26" t="s">
        <v>106</v>
      </c>
      <c r="BM192" s="26" t="s">
        <v>107</v>
      </c>
      <c r="BN192" s="209">
        <v>0</v>
      </c>
      <c r="BO192" s="26" t="s">
        <v>108</v>
      </c>
      <c r="BP192" s="34" t="s">
        <v>109</v>
      </c>
      <c r="BQ192" s="209">
        <v>4000</v>
      </c>
      <c r="BR192" s="26" t="s">
        <v>108</v>
      </c>
      <c r="BS192" s="34" t="s">
        <v>110</v>
      </c>
      <c r="BT192" s="209">
        <v>5500</v>
      </c>
      <c r="BU192" s="211">
        <v>11000</v>
      </c>
      <c r="BV192" s="212" t="s">
        <v>100</v>
      </c>
      <c r="BW192" s="212" t="s">
        <v>286</v>
      </c>
      <c r="BX192" s="213" t="s">
        <v>100</v>
      </c>
      <c r="BY192" s="213" t="s">
        <v>100</v>
      </c>
      <c r="BZ192" s="45">
        <v>2000</v>
      </c>
    </row>
    <row r="193" spans="3:78" ht="26.25" thickBot="1">
      <c r="C193" s="1"/>
      <c r="D193" s="296"/>
      <c r="E193" s="299"/>
      <c r="F193" s="302"/>
      <c r="G193" s="74">
        <v>500</v>
      </c>
      <c r="H193" s="62">
        <v>400</v>
      </c>
      <c r="I193" s="62">
        <v>10000</v>
      </c>
      <c r="J193" s="62">
        <v>10000</v>
      </c>
      <c r="K193" s="62">
        <v>50</v>
      </c>
      <c r="L193" s="62">
        <v>29</v>
      </c>
      <c r="M193" s="84" t="s">
        <v>224</v>
      </c>
      <c r="N193" s="197">
        <f>N161+14477</f>
        <v>212788</v>
      </c>
      <c r="O193" s="62" t="s">
        <v>89</v>
      </c>
      <c r="P193" s="62">
        <v>9</v>
      </c>
      <c r="Q193" s="64" t="s">
        <v>198</v>
      </c>
      <c r="R193" s="64" t="s">
        <v>91</v>
      </c>
      <c r="S193" s="64" t="s">
        <v>199</v>
      </c>
      <c r="T193" s="65" t="s">
        <v>92</v>
      </c>
      <c r="U193" s="65" t="s">
        <v>93</v>
      </c>
      <c r="V193" s="62" t="s">
        <v>94</v>
      </c>
      <c r="W193" s="62">
        <v>31</v>
      </c>
      <c r="X193" s="66" t="s">
        <v>95</v>
      </c>
      <c r="Y193" s="66" t="s">
        <v>96</v>
      </c>
      <c r="Z193" s="87">
        <v>6000</v>
      </c>
      <c r="AA193" s="84" t="s">
        <v>205</v>
      </c>
      <c r="AB193" s="87">
        <v>3960</v>
      </c>
      <c r="AC193" s="62" t="s">
        <v>97</v>
      </c>
      <c r="AD193" s="75" t="s">
        <v>97</v>
      </c>
      <c r="AE193" s="35"/>
      <c r="AF193" s="37">
        <f>AF161+14477</f>
        <v>200889</v>
      </c>
      <c r="AG193" s="29" t="s">
        <v>98</v>
      </c>
      <c r="AH193" s="218">
        <v>18840</v>
      </c>
      <c r="AI193" s="219" t="s">
        <v>224</v>
      </c>
      <c r="AJ193" s="220">
        <v>6000</v>
      </c>
      <c r="AK193" s="220" t="s">
        <v>205</v>
      </c>
      <c r="AL193" s="220">
        <v>3960</v>
      </c>
      <c r="AM193" s="221" t="s">
        <v>94</v>
      </c>
      <c r="AN193" s="40">
        <v>55100</v>
      </c>
      <c r="AO193" s="41" t="s">
        <v>331</v>
      </c>
      <c r="AP193" s="41" t="s">
        <v>332</v>
      </c>
      <c r="AQ193" s="27">
        <v>3000</v>
      </c>
      <c r="AR193" s="27" t="s">
        <v>94</v>
      </c>
      <c r="AS193" s="27">
        <v>900</v>
      </c>
      <c r="AT193" s="29">
        <v>41</v>
      </c>
      <c r="AU193" s="29" t="s">
        <v>100</v>
      </c>
      <c r="AV193" s="31">
        <v>42</v>
      </c>
      <c r="AW193" s="31" t="s">
        <v>100</v>
      </c>
      <c r="AX193" s="209"/>
      <c r="AY193" s="285"/>
      <c r="AZ193" s="285"/>
      <c r="BA193" s="286"/>
      <c r="BB193" s="286"/>
      <c r="BC193" s="44" t="s">
        <v>204</v>
      </c>
      <c r="BD193" s="33" t="s">
        <v>103</v>
      </c>
      <c r="BE193" s="271" t="s">
        <v>104</v>
      </c>
      <c r="BF193" s="271" t="s">
        <v>105</v>
      </c>
      <c r="BG193" s="269">
        <v>0</v>
      </c>
      <c r="BH193" s="42">
        <v>24000</v>
      </c>
      <c r="BI193" s="47" t="s">
        <v>100</v>
      </c>
      <c r="BJ193" s="32" t="s">
        <v>309</v>
      </c>
      <c r="BK193" s="32">
        <v>500</v>
      </c>
      <c r="BL193" s="26" t="s">
        <v>106</v>
      </c>
      <c r="BM193" s="26" t="s">
        <v>107</v>
      </c>
      <c r="BN193" s="209">
        <v>0</v>
      </c>
      <c r="BO193" s="26" t="s">
        <v>108</v>
      </c>
      <c r="BP193" s="34" t="s">
        <v>109</v>
      </c>
      <c r="BQ193" s="209">
        <v>4000</v>
      </c>
      <c r="BR193" s="26" t="s">
        <v>108</v>
      </c>
      <c r="BS193" s="34" t="s">
        <v>110</v>
      </c>
      <c r="BT193" s="209">
        <v>5500</v>
      </c>
      <c r="BU193" s="211">
        <v>11000</v>
      </c>
      <c r="BV193" s="212" t="s">
        <v>100</v>
      </c>
      <c r="BW193" s="212" t="s">
        <v>286</v>
      </c>
      <c r="BX193" s="213" t="s">
        <v>100</v>
      </c>
      <c r="BY193" s="213" t="s">
        <v>100</v>
      </c>
      <c r="BZ193" s="45">
        <v>2000</v>
      </c>
    </row>
    <row r="194" spans="3:78" ht="25.5">
      <c r="C194" s="1"/>
      <c r="D194" s="296"/>
      <c r="E194" s="299"/>
      <c r="F194" s="302"/>
      <c r="G194" s="74">
        <v>565</v>
      </c>
      <c r="H194" s="62">
        <v>450</v>
      </c>
      <c r="I194" s="62">
        <v>10000</v>
      </c>
      <c r="J194" s="62">
        <v>10000</v>
      </c>
      <c r="K194" s="62">
        <v>50</v>
      </c>
      <c r="L194" s="62">
        <v>34</v>
      </c>
      <c r="M194" s="84" t="s">
        <v>224</v>
      </c>
      <c r="N194" s="197">
        <f>N162+14604</f>
        <v>214664</v>
      </c>
      <c r="O194" s="62" t="s">
        <v>89</v>
      </c>
      <c r="P194" s="62">
        <v>9</v>
      </c>
      <c r="Q194" s="64" t="s">
        <v>198</v>
      </c>
      <c r="R194" s="64" t="s">
        <v>91</v>
      </c>
      <c r="S194" s="64" t="s">
        <v>199</v>
      </c>
      <c r="T194" s="65" t="s">
        <v>92</v>
      </c>
      <c r="U194" s="65" t="s">
        <v>93</v>
      </c>
      <c r="V194" s="62" t="s">
        <v>94</v>
      </c>
      <c r="W194" s="62">
        <v>31</v>
      </c>
      <c r="X194" s="66" t="s">
        <v>95</v>
      </c>
      <c r="Y194" s="66" t="s">
        <v>96</v>
      </c>
      <c r="Z194" s="87">
        <v>6000</v>
      </c>
      <c r="AA194" s="84" t="s">
        <v>205</v>
      </c>
      <c r="AB194" s="87">
        <v>3960</v>
      </c>
      <c r="AC194" s="62" t="s">
        <v>97</v>
      </c>
      <c r="AD194" s="75" t="s">
        <v>97</v>
      </c>
      <c r="AE194" s="35"/>
      <c r="AF194" s="37">
        <f>AF162+14604</f>
        <v>202660</v>
      </c>
      <c r="AG194" s="29" t="s">
        <v>98</v>
      </c>
      <c r="AH194" s="222">
        <v>19006</v>
      </c>
      <c r="AI194" s="223" t="s">
        <v>225</v>
      </c>
      <c r="AJ194" s="224">
        <v>8000</v>
      </c>
      <c r="AK194" s="224" t="s">
        <v>202</v>
      </c>
      <c r="AL194" s="224">
        <v>4360</v>
      </c>
      <c r="AM194" s="225" t="s">
        <v>94</v>
      </c>
      <c r="AN194" s="40">
        <v>55100</v>
      </c>
      <c r="AO194" s="41" t="s">
        <v>331</v>
      </c>
      <c r="AP194" s="41" t="s">
        <v>332</v>
      </c>
      <c r="AQ194" s="27">
        <v>3000</v>
      </c>
      <c r="AR194" s="27" t="s">
        <v>94</v>
      </c>
      <c r="AS194" s="27">
        <v>900</v>
      </c>
      <c r="AT194" s="29">
        <v>41</v>
      </c>
      <c r="AU194" s="29" t="s">
        <v>100</v>
      </c>
      <c r="AV194" s="31">
        <v>42</v>
      </c>
      <c r="AW194" s="31" t="s">
        <v>100</v>
      </c>
      <c r="AX194" s="209"/>
      <c r="AY194" s="285"/>
      <c r="AZ194" s="285"/>
      <c r="BA194" s="286"/>
      <c r="BB194" s="286"/>
      <c r="BC194" s="44" t="s">
        <v>204</v>
      </c>
      <c r="BD194" s="33" t="s">
        <v>103</v>
      </c>
      <c r="BE194" s="271" t="s">
        <v>104</v>
      </c>
      <c r="BF194" s="271" t="s">
        <v>105</v>
      </c>
      <c r="BG194" s="269">
        <v>0</v>
      </c>
      <c r="BH194" s="42">
        <v>24000</v>
      </c>
      <c r="BI194" s="47" t="s">
        <v>100</v>
      </c>
      <c r="BJ194" s="32" t="s">
        <v>309</v>
      </c>
      <c r="BK194" s="32">
        <v>500</v>
      </c>
      <c r="BL194" s="26" t="s">
        <v>106</v>
      </c>
      <c r="BM194" s="26" t="s">
        <v>107</v>
      </c>
      <c r="BN194" s="209">
        <v>0</v>
      </c>
      <c r="BO194" s="26" t="s">
        <v>108</v>
      </c>
      <c r="BP194" s="34" t="s">
        <v>109</v>
      </c>
      <c r="BQ194" s="209">
        <v>4000</v>
      </c>
      <c r="BR194" s="26" t="s">
        <v>108</v>
      </c>
      <c r="BS194" s="34" t="s">
        <v>110</v>
      </c>
      <c r="BT194" s="209">
        <v>5500</v>
      </c>
      <c r="BU194" s="211">
        <v>11000</v>
      </c>
      <c r="BV194" s="212" t="s">
        <v>100</v>
      </c>
      <c r="BW194" s="212" t="s">
        <v>286</v>
      </c>
      <c r="BX194" s="213" t="s">
        <v>100</v>
      </c>
      <c r="BY194" s="213" t="s">
        <v>100</v>
      </c>
      <c r="BZ194" s="45">
        <v>2000</v>
      </c>
    </row>
    <row r="195" spans="3:78" ht="25.5">
      <c r="C195" s="1"/>
      <c r="D195" s="296"/>
      <c r="E195" s="299"/>
      <c r="F195" s="302"/>
      <c r="G195" s="74">
        <v>595</v>
      </c>
      <c r="H195" s="62">
        <v>475</v>
      </c>
      <c r="I195" s="62">
        <v>10000</v>
      </c>
      <c r="J195" s="62">
        <v>10000</v>
      </c>
      <c r="K195" s="62">
        <v>50</v>
      </c>
      <c r="L195" s="62">
        <v>36</v>
      </c>
      <c r="M195" s="84" t="s">
        <v>224</v>
      </c>
      <c r="N195" s="197">
        <f>N163+15103</f>
        <v>221997</v>
      </c>
      <c r="O195" s="62" t="s">
        <v>89</v>
      </c>
      <c r="P195" s="62">
        <v>9</v>
      </c>
      <c r="Q195" s="64" t="s">
        <v>198</v>
      </c>
      <c r="R195" s="64" t="s">
        <v>91</v>
      </c>
      <c r="S195" s="64" t="s">
        <v>199</v>
      </c>
      <c r="T195" s="65" t="s">
        <v>92</v>
      </c>
      <c r="U195" s="65" t="s">
        <v>93</v>
      </c>
      <c r="V195" s="62" t="s">
        <v>94</v>
      </c>
      <c r="W195" s="62">
        <v>31</v>
      </c>
      <c r="X195" s="66" t="s">
        <v>95</v>
      </c>
      <c r="Y195" s="66" t="s">
        <v>96</v>
      </c>
      <c r="Z195" s="87">
        <v>6000</v>
      </c>
      <c r="AA195" s="84" t="s">
        <v>205</v>
      </c>
      <c r="AB195" s="87">
        <v>3960</v>
      </c>
      <c r="AC195" s="62" t="s">
        <v>97</v>
      </c>
      <c r="AD195" s="75" t="s">
        <v>97</v>
      </c>
      <c r="AE195" s="35"/>
      <c r="AF195" s="37">
        <f>AF163+15103</f>
        <v>209583</v>
      </c>
      <c r="AG195" s="29" t="s">
        <v>98</v>
      </c>
      <c r="AH195" s="226">
        <v>19655</v>
      </c>
      <c r="AI195" s="48" t="s">
        <v>225</v>
      </c>
      <c r="AJ195" s="39">
        <v>8000</v>
      </c>
      <c r="AK195" s="39" t="s">
        <v>202</v>
      </c>
      <c r="AL195" s="39">
        <v>4360</v>
      </c>
      <c r="AM195" s="30" t="s">
        <v>94</v>
      </c>
      <c r="AN195" s="40">
        <v>55100</v>
      </c>
      <c r="AO195" s="41" t="s">
        <v>331</v>
      </c>
      <c r="AP195" s="41" t="s">
        <v>332</v>
      </c>
      <c r="AQ195" s="27">
        <v>3000</v>
      </c>
      <c r="AR195" s="27" t="s">
        <v>94</v>
      </c>
      <c r="AS195" s="27">
        <v>900</v>
      </c>
      <c r="AT195" s="29">
        <v>41</v>
      </c>
      <c r="AU195" s="29" t="s">
        <v>100</v>
      </c>
      <c r="AV195" s="31">
        <v>42</v>
      </c>
      <c r="AW195" s="31" t="s">
        <v>100</v>
      </c>
      <c r="AX195" s="209"/>
      <c r="AY195" s="285"/>
      <c r="AZ195" s="285"/>
      <c r="BA195" s="286"/>
      <c r="BB195" s="286"/>
      <c r="BC195" s="44" t="s">
        <v>204</v>
      </c>
      <c r="BD195" s="33" t="s">
        <v>103</v>
      </c>
      <c r="BE195" s="271" t="s">
        <v>104</v>
      </c>
      <c r="BF195" s="271" t="s">
        <v>105</v>
      </c>
      <c r="BG195" s="269">
        <v>0</v>
      </c>
      <c r="BH195" s="42">
        <v>24000</v>
      </c>
      <c r="BI195" s="47" t="s">
        <v>100</v>
      </c>
      <c r="BJ195" s="32" t="s">
        <v>309</v>
      </c>
      <c r="BK195" s="32">
        <v>500</v>
      </c>
      <c r="BL195" s="26" t="s">
        <v>106</v>
      </c>
      <c r="BM195" s="26" t="s">
        <v>107</v>
      </c>
      <c r="BN195" s="209">
        <v>0</v>
      </c>
      <c r="BO195" s="26" t="s">
        <v>108</v>
      </c>
      <c r="BP195" s="34" t="s">
        <v>109</v>
      </c>
      <c r="BQ195" s="209">
        <v>4000</v>
      </c>
      <c r="BR195" s="26" t="s">
        <v>108</v>
      </c>
      <c r="BS195" s="34" t="s">
        <v>110</v>
      </c>
      <c r="BT195" s="209">
        <v>5500</v>
      </c>
      <c r="BU195" s="211">
        <v>11000</v>
      </c>
      <c r="BV195" s="212" t="s">
        <v>100</v>
      </c>
      <c r="BW195" s="212" t="s">
        <v>286</v>
      </c>
      <c r="BX195" s="213" t="s">
        <v>100</v>
      </c>
      <c r="BY195" s="213" t="s">
        <v>100</v>
      </c>
      <c r="BZ195" s="45">
        <v>2000</v>
      </c>
    </row>
    <row r="196" spans="3:78" ht="25.5">
      <c r="C196" s="1"/>
      <c r="D196" s="296"/>
      <c r="E196" s="299"/>
      <c r="F196" s="302"/>
      <c r="G196" s="74">
        <v>625</v>
      </c>
      <c r="H196" s="62">
        <v>500</v>
      </c>
      <c r="I196" s="62">
        <v>10000</v>
      </c>
      <c r="J196" s="62">
        <v>10000</v>
      </c>
      <c r="K196" s="62">
        <v>50</v>
      </c>
      <c r="L196" s="62">
        <v>38</v>
      </c>
      <c r="M196" s="84" t="s">
        <v>224</v>
      </c>
      <c r="N196" s="197">
        <f>N164+15231</f>
        <v>223880</v>
      </c>
      <c r="O196" s="62" t="s">
        <v>89</v>
      </c>
      <c r="P196" s="62">
        <v>9</v>
      </c>
      <c r="Q196" s="64" t="s">
        <v>198</v>
      </c>
      <c r="R196" s="64" t="s">
        <v>91</v>
      </c>
      <c r="S196" s="64" t="s">
        <v>199</v>
      </c>
      <c r="T196" s="65" t="s">
        <v>92</v>
      </c>
      <c r="U196" s="65" t="s">
        <v>93</v>
      </c>
      <c r="V196" s="62" t="s">
        <v>94</v>
      </c>
      <c r="W196" s="62">
        <v>31</v>
      </c>
      <c r="X196" s="66" t="s">
        <v>95</v>
      </c>
      <c r="Y196" s="66" t="s">
        <v>96</v>
      </c>
      <c r="Z196" s="87">
        <v>6000</v>
      </c>
      <c r="AA196" s="84" t="s">
        <v>205</v>
      </c>
      <c r="AB196" s="87">
        <v>3960</v>
      </c>
      <c r="AC196" s="62" t="s">
        <v>97</v>
      </c>
      <c r="AD196" s="75" t="s">
        <v>97</v>
      </c>
      <c r="AE196" s="35"/>
      <c r="AF196" s="37">
        <f>AF164+15231</f>
        <v>211361</v>
      </c>
      <c r="AG196" s="29" t="s">
        <v>98</v>
      </c>
      <c r="AH196" s="226">
        <v>19822</v>
      </c>
      <c r="AI196" s="48" t="s">
        <v>225</v>
      </c>
      <c r="AJ196" s="39">
        <v>8000</v>
      </c>
      <c r="AK196" s="39" t="s">
        <v>202</v>
      </c>
      <c r="AL196" s="39">
        <v>4360</v>
      </c>
      <c r="AM196" s="30" t="s">
        <v>94</v>
      </c>
      <c r="AN196" s="40">
        <v>55100</v>
      </c>
      <c r="AO196" s="41" t="s">
        <v>331</v>
      </c>
      <c r="AP196" s="41" t="s">
        <v>332</v>
      </c>
      <c r="AQ196" s="27">
        <v>3000</v>
      </c>
      <c r="AR196" s="27" t="s">
        <v>94</v>
      </c>
      <c r="AS196" s="27">
        <v>900</v>
      </c>
      <c r="AT196" s="29">
        <v>41</v>
      </c>
      <c r="AU196" s="29" t="s">
        <v>100</v>
      </c>
      <c r="AV196" s="31">
        <v>42</v>
      </c>
      <c r="AW196" s="31" t="s">
        <v>100</v>
      </c>
      <c r="AX196" s="209"/>
      <c r="AY196" s="285"/>
      <c r="AZ196" s="285"/>
      <c r="BA196" s="286"/>
      <c r="BB196" s="286"/>
      <c r="BC196" s="44" t="s">
        <v>204</v>
      </c>
      <c r="BD196" s="33" t="s">
        <v>103</v>
      </c>
      <c r="BE196" s="271" t="s">
        <v>104</v>
      </c>
      <c r="BF196" s="271" t="s">
        <v>105</v>
      </c>
      <c r="BG196" s="269">
        <v>0</v>
      </c>
      <c r="BH196" s="42">
        <v>24000</v>
      </c>
      <c r="BI196" s="47" t="s">
        <v>100</v>
      </c>
      <c r="BJ196" s="32" t="s">
        <v>309</v>
      </c>
      <c r="BK196" s="32">
        <v>500</v>
      </c>
      <c r="BL196" s="26" t="s">
        <v>106</v>
      </c>
      <c r="BM196" s="26" t="s">
        <v>107</v>
      </c>
      <c r="BN196" s="209">
        <v>0</v>
      </c>
      <c r="BO196" s="26" t="s">
        <v>108</v>
      </c>
      <c r="BP196" s="34" t="s">
        <v>109</v>
      </c>
      <c r="BQ196" s="209">
        <v>4000</v>
      </c>
      <c r="BR196" s="26" t="s">
        <v>108</v>
      </c>
      <c r="BS196" s="34" t="s">
        <v>110</v>
      </c>
      <c r="BT196" s="209">
        <v>5500</v>
      </c>
      <c r="BU196" s="211">
        <v>11000</v>
      </c>
      <c r="BV196" s="212" t="s">
        <v>100</v>
      </c>
      <c r="BW196" s="212" t="s">
        <v>286</v>
      </c>
      <c r="BX196" s="213" t="s">
        <v>100</v>
      </c>
      <c r="BY196" s="213" t="s">
        <v>100</v>
      </c>
      <c r="BZ196" s="45">
        <v>2000</v>
      </c>
    </row>
    <row r="197" spans="3:78" ht="25.5">
      <c r="C197" s="1"/>
      <c r="D197" s="296"/>
      <c r="E197" s="299"/>
      <c r="F197" s="302"/>
      <c r="G197" s="74">
        <v>665</v>
      </c>
      <c r="H197" s="62">
        <v>530</v>
      </c>
      <c r="I197" s="62">
        <v>10000</v>
      </c>
      <c r="J197" s="62">
        <v>10000</v>
      </c>
      <c r="K197" s="62">
        <v>50</v>
      </c>
      <c r="L197" s="62">
        <v>40</v>
      </c>
      <c r="M197" s="84" t="s">
        <v>224</v>
      </c>
      <c r="N197" s="197">
        <f>N165+15244</f>
        <v>224060</v>
      </c>
      <c r="O197" s="62" t="s">
        <v>89</v>
      </c>
      <c r="P197" s="62">
        <v>9</v>
      </c>
      <c r="Q197" s="64" t="s">
        <v>198</v>
      </c>
      <c r="R197" s="64" t="s">
        <v>91</v>
      </c>
      <c r="S197" s="64" t="s">
        <v>199</v>
      </c>
      <c r="T197" s="65" t="s">
        <v>92</v>
      </c>
      <c r="U197" s="65" t="s">
        <v>93</v>
      </c>
      <c r="V197" s="62" t="s">
        <v>94</v>
      </c>
      <c r="W197" s="62">
        <v>31</v>
      </c>
      <c r="X197" s="66" t="s">
        <v>95</v>
      </c>
      <c r="Y197" s="66" t="s">
        <v>96</v>
      </c>
      <c r="Z197" s="87">
        <v>6000</v>
      </c>
      <c r="AA197" s="84" t="s">
        <v>205</v>
      </c>
      <c r="AB197" s="87">
        <v>3960</v>
      </c>
      <c r="AC197" s="62" t="s">
        <v>97</v>
      </c>
      <c r="AD197" s="75" t="s">
        <v>97</v>
      </c>
      <c r="AE197" s="35"/>
      <c r="AF197" s="37">
        <f>AF165+15244</f>
        <v>211531</v>
      </c>
      <c r="AG197" s="29" t="s">
        <v>98</v>
      </c>
      <c r="AH197" s="226">
        <v>19838</v>
      </c>
      <c r="AI197" s="48" t="s">
        <v>225</v>
      </c>
      <c r="AJ197" s="39">
        <v>8000</v>
      </c>
      <c r="AK197" s="39" t="s">
        <v>202</v>
      </c>
      <c r="AL197" s="39">
        <v>4360</v>
      </c>
      <c r="AM197" s="30" t="s">
        <v>94</v>
      </c>
      <c r="AN197" s="40">
        <v>61750</v>
      </c>
      <c r="AO197" s="41" t="s">
        <v>331</v>
      </c>
      <c r="AP197" s="41" t="s">
        <v>332</v>
      </c>
      <c r="AQ197" s="27">
        <v>3000</v>
      </c>
      <c r="AR197" s="27" t="s">
        <v>94</v>
      </c>
      <c r="AS197" s="27">
        <v>900</v>
      </c>
      <c r="AT197" s="29">
        <v>41</v>
      </c>
      <c r="AU197" s="29" t="s">
        <v>100</v>
      </c>
      <c r="AV197" s="31">
        <v>42</v>
      </c>
      <c r="AW197" s="31" t="s">
        <v>100</v>
      </c>
      <c r="AX197" s="209"/>
      <c r="AY197" s="285"/>
      <c r="AZ197" s="285"/>
      <c r="BA197" s="286"/>
      <c r="BB197" s="286"/>
      <c r="BC197" s="44" t="s">
        <v>204</v>
      </c>
      <c r="BD197" s="33" t="s">
        <v>103</v>
      </c>
      <c r="BE197" s="271" t="s">
        <v>104</v>
      </c>
      <c r="BF197" s="271" t="s">
        <v>105</v>
      </c>
      <c r="BG197" s="269">
        <v>0</v>
      </c>
      <c r="BH197" s="42">
        <v>24000</v>
      </c>
      <c r="BI197" s="47" t="s">
        <v>100</v>
      </c>
      <c r="BJ197" s="32" t="s">
        <v>309</v>
      </c>
      <c r="BK197" s="32">
        <v>500</v>
      </c>
      <c r="BL197" s="26" t="s">
        <v>106</v>
      </c>
      <c r="BM197" s="26" t="s">
        <v>107</v>
      </c>
      <c r="BN197" s="209">
        <v>0</v>
      </c>
      <c r="BO197" s="26" t="s">
        <v>108</v>
      </c>
      <c r="BP197" s="34" t="s">
        <v>109</v>
      </c>
      <c r="BQ197" s="209">
        <v>4000</v>
      </c>
      <c r="BR197" s="26" t="s">
        <v>108</v>
      </c>
      <c r="BS197" s="34" t="s">
        <v>110</v>
      </c>
      <c r="BT197" s="209">
        <v>5500</v>
      </c>
      <c r="BU197" s="211">
        <v>11000</v>
      </c>
      <c r="BV197" s="212" t="s">
        <v>100</v>
      </c>
      <c r="BW197" s="212" t="s">
        <v>286</v>
      </c>
      <c r="BX197" s="213" t="s">
        <v>100</v>
      </c>
      <c r="BY197" s="213" t="s">
        <v>100</v>
      </c>
      <c r="BZ197" s="45">
        <v>2000</v>
      </c>
    </row>
    <row r="198" spans="3:78" ht="26.25" thickBot="1">
      <c r="C198" s="1"/>
      <c r="D198" s="296"/>
      <c r="E198" s="299"/>
      <c r="F198" s="302"/>
      <c r="G198" s="76">
        <v>700</v>
      </c>
      <c r="H198" s="77">
        <v>560</v>
      </c>
      <c r="I198" s="77">
        <v>10000</v>
      </c>
      <c r="J198" s="77">
        <v>10000</v>
      </c>
      <c r="K198" s="77">
        <v>50</v>
      </c>
      <c r="L198" s="77">
        <v>42</v>
      </c>
      <c r="M198" s="85" t="s">
        <v>224</v>
      </c>
      <c r="N198" s="198">
        <f>N166+15290</f>
        <v>224739</v>
      </c>
      <c r="O198" s="77" t="s">
        <v>89</v>
      </c>
      <c r="P198" s="77">
        <v>9</v>
      </c>
      <c r="Q198" s="79" t="s">
        <v>198</v>
      </c>
      <c r="R198" s="79" t="s">
        <v>91</v>
      </c>
      <c r="S198" s="79" t="s">
        <v>199</v>
      </c>
      <c r="T198" s="80" t="s">
        <v>92</v>
      </c>
      <c r="U198" s="80" t="s">
        <v>93</v>
      </c>
      <c r="V198" s="77" t="s">
        <v>94</v>
      </c>
      <c r="W198" s="77">
        <v>31</v>
      </c>
      <c r="X198" s="81" t="s">
        <v>95</v>
      </c>
      <c r="Y198" s="81" t="s">
        <v>96</v>
      </c>
      <c r="Z198" s="88">
        <v>6000</v>
      </c>
      <c r="AA198" s="85" t="s">
        <v>205</v>
      </c>
      <c r="AB198" s="88">
        <v>3960</v>
      </c>
      <c r="AC198" s="77" t="s">
        <v>97</v>
      </c>
      <c r="AD198" s="82" t="s">
        <v>97</v>
      </c>
      <c r="AE198" s="35"/>
      <c r="AF198" s="37">
        <f>AF166+15290</f>
        <v>212172</v>
      </c>
      <c r="AG198" s="29" t="s">
        <v>98</v>
      </c>
      <c r="AH198" s="226">
        <v>19898</v>
      </c>
      <c r="AI198" s="48" t="s">
        <v>225</v>
      </c>
      <c r="AJ198" s="39">
        <v>8000</v>
      </c>
      <c r="AK198" s="39" t="s">
        <v>202</v>
      </c>
      <c r="AL198" s="39">
        <v>4360</v>
      </c>
      <c r="AM198" s="30" t="s">
        <v>94</v>
      </c>
      <c r="AN198" s="40">
        <v>61750</v>
      </c>
      <c r="AO198" s="41" t="s">
        <v>331</v>
      </c>
      <c r="AP198" s="41" t="s">
        <v>332</v>
      </c>
      <c r="AQ198" s="27">
        <v>3000</v>
      </c>
      <c r="AR198" s="27" t="s">
        <v>94</v>
      </c>
      <c r="AS198" s="27">
        <v>900</v>
      </c>
      <c r="AT198" s="29">
        <v>41</v>
      </c>
      <c r="AU198" s="29" t="s">
        <v>100</v>
      </c>
      <c r="AV198" s="31">
        <v>42</v>
      </c>
      <c r="AW198" s="31" t="s">
        <v>100</v>
      </c>
      <c r="AX198" s="209"/>
      <c r="AY198" s="285"/>
      <c r="AZ198" s="285"/>
      <c r="BA198" s="286"/>
      <c r="BB198" s="286"/>
      <c r="BC198" s="44" t="s">
        <v>204</v>
      </c>
      <c r="BD198" s="33" t="s">
        <v>103</v>
      </c>
      <c r="BE198" s="271" t="s">
        <v>104</v>
      </c>
      <c r="BF198" s="271" t="s">
        <v>105</v>
      </c>
      <c r="BG198" s="269">
        <v>0</v>
      </c>
      <c r="BH198" s="42">
        <v>24000</v>
      </c>
      <c r="BI198" s="47" t="s">
        <v>100</v>
      </c>
      <c r="BJ198" s="32" t="s">
        <v>309</v>
      </c>
      <c r="BK198" s="32">
        <v>500</v>
      </c>
      <c r="BL198" s="26" t="s">
        <v>106</v>
      </c>
      <c r="BM198" s="26" t="s">
        <v>107</v>
      </c>
      <c r="BN198" s="209">
        <v>0</v>
      </c>
      <c r="BO198" s="26" t="s">
        <v>108</v>
      </c>
      <c r="BP198" s="34" t="s">
        <v>109</v>
      </c>
      <c r="BQ198" s="209">
        <v>4000</v>
      </c>
      <c r="BR198" s="26" t="s">
        <v>108</v>
      </c>
      <c r="BS198" s="34" t="s">
        <v>110</v>
      </c>
      <c r="BT198" s="209">
        <v>5500</v>
      </c>
      <c r="BU198" s="211">
        <v>11000</v>
      </c>
      <c r="BV198" s="212" t="s">
        <v>100</v>
      </c>
      <c r="BW198" s="212" t="s">
        <v>286</v>
      </c>
      <c r="BX198" s="213" t="s">
        <v>100</v>
      </c>
      <c r="BY198" s="213" t="s">
        <v>100</v>
      </c>
      <c r="BZ198" s="45">
        <v>2000</v>
      </c>
    </row>
    <row r="199" spans="3:78" ht="25.5">
      <c r="C199" s="1"/>
      <c r="D199" s="296"/>
      <c r="E199" s="299"/>
      <c r="F199" s="302"/>
      <c r="G199" s="67">
        <v>750</v>
      </c>
      <c r="H199" s="68">
        <v>600</v>
      </c>
      <c r="I199" s="68">
        <v>10000</v>
      </c>
      <c r="J199" s="68">
        <v>10000</v>
      </c>
      <c r="K199" s="68">
        <v>50</v>
      </c>
      <c r="L199" s="68">
        <v>45</v>
      </c>
      <c r="M199" s="103" t="s">
        <v>225</v>
      </c>
      <c r="N199" s="196">
        <f>N167+15344</f>
        <v>225536</v>
      </c>
      <c r="O199" s="68" t="s">
        <v>89</v>
      </c>
      <c r="P199" s="68">
        <v>9</v>
      </c>
      <c r="Q199" s="70" t="s">
        <v>198</v>
      </c>
      <c r="R199" s="70" t="s">
        <v>91</v>
      </c>
      <c r="S199" s="70" t="s">
        <v>199</v>
      </c>
      <c r="T199" s="71" t="s">
        <v>92</v>
      </c>
      <c r="U199" s="71" t="s">
        <v>93</v>
      </c>
      <c r="V199" s="68" t="s">
        <v>94</v>
      </c>
      <c r="W199" s="68">
        <v>31</v>
      </c>
      <c r="X199" s="72" t="s">
        <v>95</v>
      </c>
      <c r="Y199" s="72" t="s">
        <v>96</v>
      </c>
      <c r="Z199" s="104">
        <v>8000</v>
      </c>
      <c r="AA199" s="103" t="s">
        <v>202</v>
      </c>
      <c r="AB199" s="104">
        <v>4360</v>
      </c>
      <c r="AC199" s="68" t="s">
        <v>97</v>
      </c>
      <c r="AD199" s="73" t="s">
        <v>97</v>
      </c>
      <c r="AE199" s="35"/>
      <c r="AF199" s="37">
        <f>AF167+15344</f>
        <v>212924</v>
      </c>
      <c r="AG199" s="29" t="s">
        <v>98</v>
      </c>
      <c r="AH199" s="226">
        <v>19968</v>
      </c>
      <c r="AI199" s="48" t="s">
        <v>225</v>
      </c>
      <c r="AJ199" s="39">
        <v>8000</v>
      </c>
      <c r="AK199" s="39" t="s">
        <v>202</v>
      </c>
      <c r="AL199" s="39">
        <v>4360</v>
      </c>
      <c r="AM199" s="30" t="s">
        <v>94</v>
      </c>
      <c r="AN199" s="40">
        <v>61750</v>
      </c>
      <c r="AO199" s="41" t="s">
        <v>331</v>
      </c>
      <c r="AP199" s="41" t="s">
        <v>332</v>
      </c>
      <c r="AQ199" s="27">
        <v>3000</v>
      </c>
      <c r="AR199" s="27" t="s">
        <v>94</v>
      </c>
      <c r="AS199" s="27">
        <v>900</v>
      </c>
      <c r="AT199" s="29">
        <v>41</v>
      </c>
      <c r="AU199" s="29" t="s">
        <v>100</v>
      </c>
      <c r="AV199" s="31">
        <v>42</v>
      </c>
      <c r="AW199" s="31" t="s">
        <v>100</v>
      </c>
      <c r="AX199" s="209"/>
      <c r="AY199" s="285"/>
      <c r="AZ199" s="285"/>
      <c r="BA199" s="286"/>
      <c r="BB199" s="286"/>
      <c r="BC199" s="44" t="s">
        <v>204</v>
      </c>
      <c r="BD199" s="33" t="s">
        <v>103</v>
      </c>
      <c r="BE199" s="271" t="s">
        <v>104</v>
      </c>
      <c r="BF199" s="271" t="s">
        <v>105</v>
      </c>
      <c r="BG199" s="269">
        <v>0</v>
      </c>
      <c r="BH199" s="42">
        <v>24000</v>
      </c>
      <c r="BI199" s="47" t="s">
        <v>100</v>
      </c>
      <c r="BJ199" s="32" t="s">
        <v>309</v>
      </c>
      <c r="BK199" s="32">
        <v>500</v>
      </c>
      <c r="BL199" s="26" t="s">
        <v>106</v>
      </c>
      <c r="BM199" s="26" t="s">
        <v>107</v>
      </c>
      <c r="BN199" s="209">
        <v>0</v>
      </c>
      <c r="BO199" s="26" t="s">
        <v>108</v>
      </c>
      <c r="BP199" s="34" t="s">
        <v>109</v>
      </c>
      <c r="BQ199" s="209">
        <v>4000</v>
      </c>
      <c r="BR199" s="26" t="s">
        <v>108</v>
      </c>
      <c r="BS199" s="34" t="s">
        <v>110</v>
      </c>
      <c r="BT199" s="209">
        <v>5500</v>
      </c>
      <c r="BU199" s="211">
        <v>11000</v>
      </c>
      <c r="BV199" s="212" t="s">
        <v>100</v>
      </c>
      <c r="BW199" s="212" t="s">
        <v>286</v>
      </c>
      <c r="BX199" s="213" t="s">
        <v>100</v>
      </c>
      <c r="BY199" s="213" t="s">
        <v>100</v>
      </c>
      <c r="BZ199" s="45">
        <v>2000</v>
      </c>
    </row>
    <row r="200" spans="3:78" ht="25.5">
      <c r="C200" s="1"/>
      <c r="D200" s="296"/>
      <c r="E200" s="299"/>
      <c r="F200" s="302"/>
      <c r="G200" s="74">
        <v>790</v>
      </c>
      <c r="H200" s="62">
        <v>630</v>
      </c>
      <c r="I200" s="62">
        <v>10000</v>
      </c>
      <c r="J200" s="62">
        <v>10000</v>
      </c>
      <c r="K200" s="62">
        <v>50</v>
      </c>
      <c r="L200" s="62">
        <v>47</v>
      </c>
      <c r="M200" s="101" t="s">
        <v>225</v>
      </c>
      <c r="N200" s="197">
        <f>N168+15447</f>
        <v>227048</v>
      </c>
      <c r="O200" s="62" t="s">
        <v>89</v>
      </c>
      <c r="P200" s="62">
        <v>9</v>
      </c>
      <c r="Q200" s="64" t="s">
        <v>198</v>
      </c>
      <c r="R200" s="64" t="s">
        <v>91</v>
      </c>
      <c r="S200" s="64" t="s">
        <v>199</v>
      </c>
      <c r="T200" s="65" t="s">
        <v>92</v>
      </c>
      <c r="U200" s="65" t="s">
        <v>93</v>
      </c>
      <c r="V200" s="62" t="s">
        <v>94</v>
      </c>
      <c r="W200" s="62">
        <v>31</v>
      </c>
      <c r="X200" s="66" t="s">
        <v>95</v>
      </c>
      <c r="Y200" s="66" t="s">
        <v>96</v>
      </c>
      <c r="Z200" s="102">
        <v>8000</v>
      </c>
      <c r="AA200" s="101" t="s">
        <v>202</v>
      </c>
      <c r="AB200" s="102">
        <v>4360</v>
      </c>
      <c r="AC200" s="62" t="s">
        <v>97</v>
      </c>
      <c r="AD200" s="75" t="s">
        <v>97</v>
      </c>
      <c r="AE200" s="35"/>
      <c r="AF200" s="37">
        <f>AF168+15447</f>
        <v>214352</v>
      </c>
      <c r="AG200" s="29" t="s">
        <v>98</v>
      </c>
      <c r="AH200" s="226">
        <v>20102</v>
      </c>
      <c r="AI200" s="48" t="s">
        <v>225</v>
      </c>
      <c r="AJ200" s="39">
        <v>8000</v>
      </c>
      <c r="AK200" s="39" t="s">
        <v>202</v>
      </c>
      <c r="AL200" s="39">
        <v>4360</v>
      </c>
      <c r="AM200" s="30" t="s">
        <v>94</v>
      </c>
      <c r="AN200" s="40">
        <v>61750</v>
      </c>
      <c r="AO200" s="41" t="s">
        <v>331</v>
      </c>
      <c r="AP200" s="41" t="s">
        <v>332</v>
      </c>
      <c r="AQ200" s="27">
        <v>3000</v>
      </c>
      <c r="AR200" s="27" t="s">
        <v>94</v>
      </c>
      <c r="AS200" s="27">
        <v>900</v>
      </c>
      <c r="AT200" s="29">
        <v>41</v>
      </c>
      <c r="AU200" s="29" t="s">
        <v>100</v>
      </c>
      <c r="AV200" s="31">
        <v>42</v>
      </c>
      <c r="AW200" s="31" t="s">
        <v>100</v>
      </c>
      <c r="AX200" s="209"/>
      <c r="AY200" s="285"/>
      <c r="AZ200" s="285"/>
      <c r="BA200" s="286"/>
      <c r="BB200" s="286"/>
      <c r="BC200" s="44" t="s">
        <v>204</v>
      </c>
      <c r="BD200" s="33" t="s">
        <v>103</v>
      </c>
      <c r="BE200" s="271" t="s">
        <v>104</v>
      </c>
      <c r="BF200" s="271" t="s">
        <v>105</v>
      </c>
      <c r="BG200" s="269">
        <v>0</v>
      </c>
      <c r="BH200" s="42">
        <v>24000</v>
      </c>
      <c r="BI200" s="47" t="s">
        <v>100</v>
      </c>
      <c r="BJ200" s="32" t="s">
        <v>309</v>
      </c>
      <c r="BK200" s="32">
        <v>500</v>
      </c>
      <c r="BL200" s="26" t="s">
        <v>106</v>
      </c>
      <c r="BM200" s="26" t="s">
        <v>107</v>
      </c>
      <c r="BN200" s="209">
        <v>0</v>
      </c>
      <c r="BO200" s="26" t="s">
        <v>108</v>
      </c>
      <c r="BP200" s="34" t="s">
        <v>109</v>
      </c>
      <c r="BQ200" s="209">
        <v>4000</v>
      </c>
      <c r="BR200" s="26" t="s">
        <v>108</v>
      </c>
      <c r="BS200" s="34" t="s">
        <v>110</v>
      </c>
      <c r="BT200" s="209">
        <v>5500</v>
      </c>
      <c r="BU200" s="211">
        <v>11000</v>
      </c>
      <c r="BV200" s="212" t="s">
        <v>100</v>
      </c>
      <c r="BW200" s="212" t="s">
        <v>286</v>
      </c>
      <c r="BX200" s="213" t="s">
        <v>100</v>
      </c>
      <c r="BY200" s="213" t="s">
        <v>100</v>
      </c>
      <c r="BZ200" s="45">
        <v>2000</v>
      </c>
    </row>
    <row r="201" spans="3:78" ht="25.5">
      <c r="C201" s="1"/>
      <c r="D201" s="296"/>
      <c r="E201" s="299"/>
      <c r="F201" s="302"/>
      <c r="G201" s="74">
        <v>840</v>
      </c>
      <c r="H201" s="62">
        <v>670</v>
      </c>
      <c r="I201" s="62">
        <v>10000</v>
      </c>
      <c r="J201" s="62">
        <v>10000</v>
      </c>
      <c r="K201" s="62">
        <v>50</v>
      </c>
      <c r="L201" s="62">
        <v>49</v>
      </c>
      <c r="M201" s="101" t="s">
        <v>225</v>
      </c>
      <c r="N201" s="197">
        <f>N169+15664</f>
        <v>230244</v>
      </c>
      <c r="O201" s="62" t="s">
        <v>89</v>
      </c>
      <c r="P201" s="62">
        <v>9</v>
      </c>
      <c r="Q201" s="64" t="s">
        <v>198</v>
      </c>
      <c r="R201" s="64" t="s">
        <v>91</v>
      </c>
      <c r="S201" s="64" t="s">
        <v>199</v>
      </c>
      <c r="T201" s="65" t="s">
        <v>92</v>
      </c>
      <c r="U201" s="65" t="s">
        <v>93</v>
      </c>
      <c r="V201" s="62" t="s">
        <v>94</v>
      </c>
      <c r="W201" s="62">
        <v>31</v>
      </c>
      <c r="X201" s="66" t="s">
        <v>95</v>
      </c>
      <c r="Y201" s="66" t="s">
        <v>96</v>
      </c>
      <c r="Z201" s="102">
        <v>8000</v>
      </c>
      <c r="AA201" s="101" t="s">
        <v>202</v>
      </c>
      <c r="AB201" s="102">
        <v>4360</v>
      </c>
      <c r="AC201" s="62" t="s">
        <v>97</v>
      </c>
      <c r="AD201" s="75" t="s">
        <v>97</v>
      </c>
      <c r="AE201" s="35"/>
      <c r="AF201" s="37">
        <f>AF169+15664</f>
        <v>217369</v>
      </c>
      <c r="AG201" s="29" t="s">
        <v>98</v>
      </c>
      <c r="AH201" s="226">
        <v>20385</v>
      </c>
      <c r="AI201" s="48" t="s">
        <v>225</v>
      </c>
      <c r="AJ201" s="39">
        <v>8000</v>
      </c>
      <c r="AK201" s="39" t="s">
        <v>202</v>
      </c>
      <c r="AL201" s="39">
        <v>4360</v>
      </c>
      <c r="AM201" s="30" t="s">
        <v>94</v>
      </c>
      <c r="AN201" s="40">
        <v>61750</v>
      </c>
      <c r="AO201" s="41" t="s">
        <v>331</v>
      </c>
      <c r="AP201" s="41" t="s">
        <v>332</v>
      </c>
      <c r="AQ201" s="27">
        <v>3000</v>
      </c>
      <c r="AR201" s="27" t="s">
        <v>94</v>
      </c>
      <c r="AS201" s="27">
        <v>900</v>
      </c>
      <c r="AT201" s="29">
        <v>41</v>
      </c>
      <c r="AU201" s="29" t="s">
        <v>100</v>
      </c>
      <c r="AV201" s="31">
        <v>42</v>
      </c>
      <c r="AW201" s="31" t="s">
        <v>100</v>
      </c>
      <c r="AX201" s="209"/>
      <c r="AY201" s="285"/>
      <c r="AZ201" s="285"/>
      <c r="BA201" s="286"/>
      <c r="BB201" s="286"/>
      <c r="BC201" s="44" t="s">
        <v>204</v>
      </c>
      <c r="BD201" s="33" t="s">
        <v>103</v>
      </c>
      <c r="BE201" s="271" t="s">
        <v>104</v>
      </c>
      <c r="BF201" s="271" t="s">
        <v>105</v>
      </c>
      <c r="BG201" s="269">
        <v>0</v>
      </c>
      <c r="BH201" s="42">
        <v>24000</v>
      </c>
      <c r="BI201" s="47" t="s">
        <v>100</v>
      </c>
      <c r="BJ201" s="32" t="s">
        <v>309</v>
      </c>
      <c r="BK201" s="32">
        <v>500</v>
      </c>
      <c r="BL201" s="26" t="s">
        <v>106</v>
      </c>
      <c r="BM201" s="26" t="s">
        <v>107</v>
      </c>
      <c r="BN201" s="209">
        <v>0</v>
      </c>
      <c r="BO201" s="26" t="s">
        <v>108</v>
      </c>
      <c r="BP201" s="34" t="s">
        <v>109</v>
      </c>
      <c r="BQ201" s="209">
        <v>4000</v>
      </c>
      <c r="BR201" s="26" t="s">
        <v>108</v>
      </c>
      <c r="BS201" s="34" t="s">
        <v>110</v>
      </c>
      <c r="BT201" s="209">
        <v>5500</v>
      </c>
      <c r="BU201" s="211">
        <v>11000</v>
      </c>
      <c r="BV201" s="212" t="s">
        <v>100</v>
      </c>
      <c r="BW201" s="212" t="s">
        <v>286</v>
      </c>
      <c r="BX201" s="213" t="s">
        <v>100</v>
      </c>
      <c r="BY201" s="213" t="s">
        <v>100</v>
      </c>
      <c r="BZ201" s="45">
        <v>2000</v>
      </c>
    </row>
    <row r="202" spans="3:78" ht="25.5">
      <c r="C202" s="1"/>
      <c r="D202" s="296"/>
      <c r="E202" s="299"/>
      <c r="F202" s="302"/>
      <c r="G202" s="74">
        <v>890</v>
      </c>
      <c r="H202" s="62">
        <v>710</v>
      </c>
      <c r="I202" s="62">
        <v>10000</v>
      </c>
      <c r="J202" s="62">
        <v>10000</v>
      </c>
      <c r="K202" s="62">
        <v>50</v>
      </c>
      <c r="L202" s="62">
        <v>53</v>
      </c>
      <c r="M202" s="101" t="s">
        <v>225</v>
      </c>
      <c r="N202" s="197">
        <f>N170+15687</f>
        <v>230581</v>
      </c>
      <c r="O202" s="62" t="s">
        <v>89</v>
      </c>
      <c r="P202" s="62">
        <v>9</v>
      </c>
      <c r="Q202" s="64" t="s">
        <v>198</v>
      </c>
      <c r="R202" s="64" t="s">
        <v>91</v>
      </c>
      <c r="S202" s="64" t="s">
        <v>199</v>
      </c>
      <c r="T202" s="65" t="s">
        <v>92</v>
      </c>
      <c r="U202" s="65" t="s">
        <v>93</v>
      </c>
      <c r="V202" s="62" t="s">
        <v>94</v>
      </c>
      <c r="W202" s="62">
        <v>31</v>
      </c>
      <c r="X202" s="66" t="s">
        <v>95</v>
      </c>
      <c r="Y202" s="66" t="s">
        <v>96</v>
      </c>
      <c r="Z202" s="102">
        <v>8000</v>
      </c>
      <c r="AA202" s="101" t="s">
        <v>202</v>
      </c>
      <c r="AB202" s="102">
        <v>4360</v>
      </c>
      <c r="AC202" s="62" t="s">
        <v>97</v>
      </c>
      <c r="AD202" s="75" t="s">
        <v>97</v>
      </c>
      <c r="AE202" s="35"/>
      <c r="AF202" s="37">
        <f>AF170+15687</f>
        <v>217687</v>
      </c>
      <c r="AG202" s="29" t="s">
        <v>98</v>
      </c>
      <c r="AH202" s="226">
        <v>20415</v>
      </c>
      <c r="AI202" s="48" t="s">
        <v>225</v>
      </c>
      <c r="AJ202" s="39">
        <v>8000</v>
      </c>
      <c r="AK202" s="39" t="s">
        <v>202</v>
      </c>
      <c r="AL202" s="39">
        <v>4360</v>
      </c>
      <c r="AM202" s="30" t="s">
        <v>94</v>
      </c>
      <c r="AN202" s="40">
        <v>61750</v>
      </c>
      <c r="AO202" s="41" t="s">
        <v>331</v>
      </c>
      <c r="AP202" s="41" t="s">
        <v>332</v>
      </c>
      <c r="AQ202" s="27">
        <v>3000</v>
      </c>
      <c r="AR202" s="27" t="s">
        <v>94</v>
      </c>
      <c r="AS202" s="27">
        <v>900</v>
      </c>
      <c r="AT202" s="29">
        <v>41</v>
      </c>
      <c r="AU202" s="29" t="s">
        <v>100</v>
      </c>
      <c r="AV202" s="31">
        <v>42</v>
      </c>
      <c r="AW202" s="31" t="s">
        <v>100</v>
      </c>
      <c r="AX202" s="209"/>
      <c r="AY202" s="285"/>
      <c r="AZ202" s="285"/>
      <c r="BA202" s="286"/>
      <c r="BB202" s="286"/>
      <c r="BC202" s="44" t="s">
        <v>204</v>
      </c>
      <c r="BD202" s="33" t="s">
        <v>103</v>
      </c>
      <c r="BE202" s="271" t="s">
        <v>104</v>
      </c>
      <c r="BF202" s="271" t="s">
        <v>105</v>
      </c>
      <c r="BG202" s="269">
        <v>0</v>
      </c>
      <c r="BH202" s="42">
        <v>24000</v>
      </c>
      <c r="BI202" s="47" t="s">
        <v>100</v>
      </c>
      <c r="BJ202" s="32" t="s">
        <v>309</v>
      </c>
      <c r="BK202" s="32">
        <v>500</v>
      </c>
      <c r="BL202" s="26" t="s">
        <v>106</v>
      </c>
      <c r="BM202" s="26" t="s">
        <v>107</v>
      </c>
      <c r="BN202" s="209">
        <v>0</v>
      </c>
      <c r="BO202" s="26" t="s">
        <v>108</v>
      </c>
      <c r="BP202" s="34" t="s">
        <v>109</v>
      </c>
      <c r="BQ202" s="209">
        <v>4000</v>
      </c>
      <c r="BR202" s="26" t="s">
        <v>108</v>
      </c>
      <c r="BS202" s="34" t="s">
        <v>110</v>
      </c>
      <c r="BT202" s="209">
        <v>5500</v>
      </c>
      <c r="BU202" s="211">
        <v>11000</v>
      </c>
      <c r="BV202" s="212" t="s">
        <v>100</v>
      </c>
      <c r="BW202" s="212" t="s">
        <v>286</v>
      </c>
      <c r="BX202" s="213" t="s">
        <v>100</v>
      </c>
      <c r="BY202" s="213" t="s">
        <v>100</v>
      </c>
      <c r="BZ202" s="45">
        <v>2000</v>
      </c>
    </row>
    <row r="203" spans="3:78" ht="25.5">
      <c r="C203" s="1"/>
      <c r="D203" s="296"/>
      <c r="E203" s="299"/>
      <c r="F203" s="302"/>
      <c r="G203" s="174">
        <v>940</v>
      </c>
      <c r="H203" s="62">
        <v>750</v>
      </c>
      <c r="I203" s="62">
        <v>10000</v>
      </c>
      <c r="J203" s="62">
        <v>10000</v>
      </c>
      <c r="K203" s="62">
        <v>50</v>
      </c>
      <c r="L203" s="62">
        <v>56</v>
      </c>
      <c r="M203" s="101" t="s">
        <v>225</v>
      </c>
      <c r="N203" s="197">
        <f>N171+16597</f>
        <v>243956</v>
      </c>
      <c r="O203" s="62" t="s">
        <v>89</v>
      </c>
      <c r="P203" s="62">
        <v>9</v>
      </c>
      <c r="Q203" s="64" t="s">
        <v>198</v>
      </c>
      <c r="R203" s="64" t="s">
        <v>91</v>
      </c>
      <c r="S203" s="64" t="s">
        <v>199</v>
      </c>
      <c r="T203" s="65" t="s">
        <v>92</v>
      </c>
      <c r="U203" s="65" t="s">
        <v>93</v>
      </c>
      <c r="V203" s="62" t="s">
        <v>94</v>
      </c>
      <c r="W203" s="62">
        <v>31</v>
      </c>
      <c r="X203" s="66" t="s">
        <v>95</v>
      </c>
      <c r="Y203" s="66" t="s">
        <v>96</v>
      </c>
      <c r="Z203" s="102">
        <v>8000</v>
      </c>
      <c r="AA203" s="101" t="s">
        <v>202</v>
      </c>
      <c r="AB203" s="102">
        <v>4360</v>
      </c>
      <c r="AC203" s="62" t="s">
        <v>97</v>
      </c>
      <c r="AD203" s="75" t="s">
        <v>97</v>
      </c>
      <c r="AE203" s="35"/>
      <c r="AF203" s="37">
        <f>AF171+16597</f>
        <v>230314</v>
      </c>
      <c r="AG203" s="29" t="s">
        <v>98</v>
      </c>
      <c r="AH203" s="226">
        <v>21599</v>
      </c>
      <c r="AI203" s="48" t="s">
        <v>225</v>
      </c>
      <c r="AJ203" s="39">
        <v>8000</v>
      </c>
      <c r="AK203" s="39" t="s">
        <v>202</v>
      </c>
      <c r="AL203" s="39">
        <v>4360</v>
      </c>
      <c r="AM203" s="30" t="s">
        <v>94</v>
      </c>
      <c r="AN203" s="40">
        <v>61750</v>
      </c>
      <c r="AO203" s="41" t="s">
        <v>331</v>
      </c>
      <c r="AP203" s="41" t="s">
        <v>332</v>
      </c>
      <c r="AQ203" s="27">
        <v>3000</v>
      </c>
      <c r="AR203" s="27" t="s">
        <v>94</v>
      </c>
      <c r="AS203" s="27">
        <v>900</v>
      </c>
      <c r="AT203" s="29">
        <v>41</v>
      </c>
      <c r="AU203" s="29" t="s">
        <v>100</v>
      </c>
      <c r="AV203" s="31">
        <v>42</v>
      </c>
      <c r="AW203" s="31" t="s">
        <v>100</v>
      </c>
      <c r="AX203" s="209"/>
      <c r="AY203" s="285"/>
      <c r="AZ203" s="285"/>
      <c r="BA203" s="286"/>
      <c r="BB203" s="286"/>
      <c r="BC203" s="44" t="s">
        <v>204</v>
      </c>
      <c r="BD203" s="33" t="s">
        <v>103</v>
      </c>
      <c r="BE203" s="271" t="s">
        <v>104</v>
      </c>
      <c r="BF203" s="271" t="s">
        <v>105</v>
      </c>
      <c r="BG203" s="269">
        <v>0</v>
      </c>
      <c r="BH203" s="42">
        <v>24000</v>
      </c>
      <c r="BI203" s="47" t="s">
        <v>100</v>
      </c>
      <c r="BJ203" s="32" t="s">
        <v>309</v>
      </c>
      <c r="BK203" s="32">
        <v>500</v>
      </c>
      <c r="BL203" s="26" t="s">
        <v>106</v>
      </c>
      <c r="BM203" s="26" t="s">
        <v>107</v>
      </c>
      <c r="BN203" s="209">
        <v>0</v>
      </c>
      <c r="BO203" s="26" t="s">
        <v>108</v>
      </c>
      <c r="BP203" s="34" t="s">
        <v>109</v>
      </c>
      <c r="BQ203" s="209">
        <v>4000</v>
      </c>
      <c r="BR203" s="26" t="s">
        <v>108</v>
      </c>
      <c r="BS203" s="34" t="s">
        <v>110</v>
      </c>
      <c r="BT203" s="209">
        <v>5500</v>
      </c>
      <c r="BU203" s="211">
        <v>11000</v>
      </c>
      <c r="BV203" s="212" t="s">
        <v>100</v>
      </c>
      <c r="BW203" s="212" t="s">
        <v>286</v>
      </c>
      <c r="BX203" s="213" t="s">
        <v>100</v>
      </c>
      <c r="BY203" s="213" t="s">
        <v>100</v>
      </c>
      <c r="BZ203" s="45">
        <v>2000</v>
      </c>
    </row>
    <row r="204" spans="3:78" ht="25.5">
      <c r="C204" s="1"/>
      <c r="D204" s="296"/>
      <c r="E204" s="299"/>
      <c r="F204" s="302"/>
      <c r="G204" s="174">
        <v>1000</v>
      </c>
      <c r="H204" s="62">
        <v>800</v>
      </c>
      <c r="I204" s="62">
        <v>10000</v>
      </c>
      <c r="J204" s="62">
        <v>10000</v>
      </c>
      <c r="K204" s="62">
        <v>50</v>
      </c>
      <c r="L204" s="62">
        <v>58</v>
      </c>
      <c r="M204" s="101" t="s">
        <v>225</v>
      </c>
      <c r="N204" s="197">
        <f>N172+16853</f>
        <v>247715</v>
      </c>
      <c r="O204" s="62" t="s">
        <v>89</v>
      </c>
      <c r="P204" s="62">
        <v>9</v>
      </c>
      <c r="Q204" s="64" t="s">
        <v>198</v>
      </c>
      <c r="R204" s="64" t="s">
        <v>91</v>
      </c>
      <c r="S204" s="64" t="s">
        <v>199</v>
      </c>
      <c r="T204" s="65" t="s">
        <v>92</v>
      </c>
      <c r="U204" s="65" t="s">
        <v>93</v>
      </c>
      <c r="V204" s="62" t="s">
        <v>94</v>
      </c>
      <c r="W204" s="62">
        <v>31</v>
      </c>
      <c r="X204" s="66" t="s">
        <v>95</v>
      </c>
      <c r="Y204" s="66" t="s">
        <v>96</v>
      </c>
      <c r="Z204" s="102">
        <v>8000</v>
      </c>
      <c r="AA204" s="101" t="s">
        <v>202</v>
      </c>
      <c r="AB204" s="102">
        <v>4360</v>
      </c>
      <c r="AC204" s="62" t="s">
        <v>97</v>
      </c>
      <c r="AD204" s="75" t="s">
        <v>97</v>
      </c>
      <c r="AE204" s="35"/>
      <c r="AF204" s="37">
        <f>AF172+16853</f>
        <v>233863</v>
      </c>
      <c r="AG204" s="29" t="s">
        <v>98</v>
      </c>
      <c r="AH204" s="226">
        <v>21932</v>
      </c>
      <c r="AI204" s="48" t="s">
        <v>225</v>
      </c>
      <c r="AJ204" s="39">
        <v>8000</v>
      </c>
      <c r="AK204" s="39" t="s">
        <v>202</v>
      </c>
      <c r="AL204" s="39">
        <v>4360</v>
      </c>
      <c r="AM204" s="30" t="s">
        <v>94</v>
      </c>
      <c r="AN204" s="40">
        <v>61750</v>
      </c>
      <c r="AO204" s="41" t="s">
        <v>331</v>
      </c>
      <c r="AP204" s="41" t="s">
        <v>332</v>
      </c>
      <c r="AQ204" s="27">
        <v>3000</v>
      </c>
      <c r="AR204" s="27" t="s">
        <v>94</v>
      </c>
      <c r="AS204" s="27">
        <v>900</v>
      </c>
      <c r="AT204" s="29">
        <v>41</v>
      </c>
      <c r="AU204" s="29" t="s">
        <v>100</v>
      </c>
      <c r="AV204" s="31">
        <v>42</v>
      </c>
      <c r="AW204" s="31" t="s">
        <v>100</v>
      </c>
      <c r="AX204" s="209"/>
      <c r="AY204" s="285"/>
      <c r="AZ204" s="285"/>
      <c r="BA204" s="286"/>
      <c r="BB204" s="286"/>
      <c r="BC204" s="44" t="s">
        <v>204</v>
      </c>
      <c r="BD204" s="33" t="s">
        <v>103</v>
      </c>
      <c r="BE204" s="271" t="s">
        <v>104</v>
      </c>
      <c r="BF204" s="271" t="s">
        <v>105</v>
      </c>
      <c r="BG204" s="269">
        <v>0</v>
      </c>
      <c r="BH204" s="42">
        <v>24000</v>
      </c>
      <c r="BI204" s="47" t="s">
        <v>100</v>
      </c>
      <c r="BJ204" s="32" t="s">
        <v>309</v>
      </c>
      <c r="BK204" s="32">
        <v>500</v>
      </c>
      <c r="BL204" s="26" t="s">
        <v>106</v>
      </c>
      <c r="BM204" s="26" t="s">
        <v>107</v>
      </c>
      <c r="BN204" s="209">
        <v>0</v>
      </c>
      <c r="BO204" s="26" t="s">
        <v>108</v>
      </c>
      <c r="BP204" s="34" t="s">
        <v>109</v>
      </c>
      <c r="BQ204" s="209">
        <v>4000</v>
      </c>
      <c r="BR204" s="26" t="s">
        <v>108</v>
      </c>
      <c r="BS204" s="34" t="s">
        <v>110</v>
      </c>
      <c r="BT204" s="209">
        <v>5500</v>
      </c>
      <c r="BU204" s="211">
        <v>11000</v>
      </c>
      <c r="BV204" s="212" t="s">
        <v>100</v>
      </c>
      <c r="BW204" s="212" t="s">
        <v>286</v>
      </c>
      <c r="BX204" s="213" t="s">
        <v>100</v>
      </c>
      <c r="BY204" s="213" t="s">
        <v>100</v>
      </c>
      <c r="BZ204" s="45">
        <v>2000</v>
      </c>
    </row>
    <row r="205" spans="3:78" ht="26.25" customHeight="1">
      <c r="C205" s="1"/>
      <c r="D205" s="296"/>
      <c r="E205" s="299"/>
      <c r="F205" s="302"/>
      <c r="G205" s="174">
        <v>1065</v>
      </c>
      <c r="H205" s="62">
        <v>850</v>
      </c>
      <c r="I205" s="62">
        <v>10000</v>
      </c>
      <c r="J205" s="62">
        <v>10000</v>
      </c>
      <c r="K205" s="62">
        <v>50</v>
      </c>
      <c r="L205" s="62">
        <v>62</v>
      </c>
      <c r="M205" s="101" t="s">
        <v>225</v>
      </c>
      <c r="N205" s="197">
        <f>N173+17095</f>
        <v>251269</v>
      </c>
      <c r="O205" s="62" t="s">
        <v>89</v>
      </c>
      <c r="P205" s="62">
        <v>9</v>
      </c>
      <c r="Q205" s="64" t="s">
        <v>198</v>
      </c>
      <c r="R205" s="64" t="s">
        <v>91</v>
      </c>
      <c r="S205" s="64" t="s">
        <v>199</v>
      </c>
      <c r="T205" s="65" t="s">
        <v>92</v>
      </c>
      <c r="U205" s="65" t="s">
        <v>93</v>
      </c>
      <c r="V205" s="62" t="s">
        <v>94</v>
      </c>
      <c r="W205" s="62">
        <v>31</v>
      </c>
      <c r="X205" s="66" t="s">
        <v>95</v>
      </c>
      <c r="Y205" s="66" t="s">
        <v>96</v>
      </c>
      <c r="Z205" s="102">
        <v>8000</v>
      </c>
      <c r="AA205" s="101" t="s">
        <v>202</v>
      </c>
      <c r="AB205" s="102">
        <v>4360</v>
      </c>
      <c r="AC205" s="62" t="s">
        <v>97</v>
      </c>
      <c r="AD205" s="75" t="s">
        <v>97</v>
      </c>
      <c r="AE205" s="35"/>
      <c r="AF205" s="37">
        <f>AF173+17095</f>
        <v>237219</v>
      </c>
      <c r="AG205" s="29" t="s">
        <v>98</v>
      </c>
      <c r="AH205" s="226">
        <v>22247</v>
      </c>
      <c r="AI205" s="48" t="s">
        <v>225</v>
      </c>
      <c r="AJ205" s="39">
        <v>8000</v>
      </c>
      <c r="AK205" s="39" t="s">
        <v>202</v>
      </c>
      <c r="AL205" s="39">
        <v>4360</v>
      </c>
      <c r="AM205" s="30" t="s">
        <v>94</v>
      </c>
      <c r="AN205" s="40">
        <v>61750</v>
      </c>
      <c r="AO205" s="41" t="s">
        <v>331</v>
      </c>
      <c r="AP205" s="41" t="s">
        <v>332</v>
      </c>
      <c r="AQ205" s="27">
        <v>3000</v>
      </c>
      <c r="AR205" s="27" t="s">
        <v>94</v>
      </c>
      <c r="AS205" s="27">
        <v>900</v>
      </c>
      <c r="AT205" s="29">
        <v>41</v>
      </c>
      <c r="AU205" s="29" t="s">
        <v>100</v>
      </c>
      <c r="AV205" s="31">
        <v>42</v>
      </c>
      <c r="AW205" s="31" t="s">
        <v>100</v>
      </c>
      <c r="AX205" s="209"/>
      <c r="AY205" s="285"/>
      <c r="AZ205" s="285"/>
      <c r="BA205" s="286"/>
      <c r="BB205" s="286"/>
      <c r="BC205" s="44" t="s">
        <v>204</v>
      </c>
      <c r="BD205" s="33" t="s">
        <v>103</v>
      </c>
      <c r="BE205" s="271" t="s">
        <v>104</v>
      </c>
      <c r="BF205" s="271" t="s">
        <v>105</v>
      </c>
      <c r="BG205" s="269">
        <v>0</v>
      </c>
      <c r="BH205" s="42">
        <v>24000</v>
      </c>
      <c r="BI205" s="47" t="s">
        <v>100</v>
      </c>
      <c r="BJ205" s="32" t="s">
        <v>309</v>
      </c>
      <c r="BK205" s="32">
        <v>500</v>
      </c>
      <c r="BL205" s="26" t="s">
        <v>106</v>
      </c>
      <c r="BM205" s="26" t="s">
        <v>107</v>
      </c>
      <c r="BN205" s="209">
        <v>0</v>
      </c>
      <c r="BO205" s="26" t="s">
        <v>108</v>
      </c>
      <c r="BP205" s="34" t="s">
        <v>109</v>
      </c>
      <c r="BQ205" s="209">
        <v>4000</v>
      </c>
      <c r="BR205" s="26" t="s">
        <v>108</v>
      </c>
      <c r="BS205" s="34" t="s">
        <v>110</v>
      </c>
      <c r="BT205" s="209">
        <v>5500</v>
      </c>
      <c r="BU205" s="211">
        <v>11000</v>
      </c>
      <c r="BV205" s="212" t="s">
        <v>100</v>
      </c>
      <c r="BW205" s="212" t="s">
        <v>286</v>
      </c>
      <c r="BX205" s="213" t="s">
        <v>100</v>
      </c>
      <c r="BY205" s="213" t="s">
        <v>100</v>
      </c>
      <c r="BZ205" s="45">
        <v>2000</v>
      </c>
    </row>
    <row r="206" spans="3:78" ht="26.25" customHeight="1">
      <c r="C206" s="1"/>
      <c r="D206" s="296"/>
      <c r="E206" s="299"/>
      <c r="F206" s="302"/>
      <c r="G206" s="174">
        <v>1125</v>
      </c>
      <c r="H206" s="62">
        <v>900</v>
      </c>
      <c r="I206" s="62">
        <v>10000</v>
      </c>
      <c r="J206" s="62">
        <v>10000</v>
      </c>
      <c r="K206" s="62">
        <v>50</v>
      </c>
      <c r="L206" s="62">
        <v>66</v>
      </c>
      <c r="M206" s="101" t="s">
        <v>225</v>
      </c>
      <c r="N206" s="197">
        <f>N174+17262</f>
        <v>253729</v>
      </c>
      <c r="O206" s="62" t="s">
        <v>89</v>
      </c>
      <c r="P206" s="62">
        <v>9</v>
      </c>
      <c r="Q206" s="64" t="s">
        <v>198</v>
      </c>
      <c r="R206" s="64" t="s">
        <v>91</v>
      </c>
      <c r="S206" s="64" t="s">
        <v>199</v>
      </c>
      <c r="T206" s="65" t="s">
        <v>92</v>
      </c>
      <c r="U206" s="65" t="s">
        <v>93</v>
      </c>
      <c r="V206" s="62" t="s">
        <v>94</v>
      </c>
      <c r="W206" s="62">
        <v>31</v>
      </c>
      <c r="X206" s="66" t="s">
        <v>95</v>
      </c>
      <c r="Y206" s="66" t="s">
        <v>96</v>
      </c>
      <c r="Z206" s="102">
        <v>8000</v>
      </c>
      <c r="AA206" s="101" t="s">
        <v>202</v>
      </c>
      <c r="AB206" s="102">
        <v>4360</v>
      </c>
      <c r="AC206" s="183" t="s">
        <v>97</v>
      </c>
      <c r="AD206" s="184" t="s">
        <v>97</v>
      </c>
      <c r="AE206" s="35"/>
      <c r="AF206" s="37">
        <f>AF174+17262</f>
        <v>239541</v>
      </c>
      <c r="AG206" s="29" t="s">
        <v>98</v>
      </c>
      <c r="AH206" s="226">
        <v>22464</v>
      </c>
      <c r="AI206" s="48" t="s">
        <v>225</v>
      </c>
      <c r="AJ206" s="39">
        <v>8000</v>
      </c>
      <c r="AK206" s="39" t="s">
        <v>202</v>
      </c>
      <c r="AL206" s="39">
        <v>4360</v>
      </c>
      <c r="AM206" s="30" t="s">
        <v>94</v>
      </c>
      <c r="AN206" s="40">
        <v>61750</v>
      </c>
      <c r="AO206" s="41" t="s">
        <v>331</v>
      </c>
      <c r="AP206" s="41" t="s">
        <v>332</v>
      </c>
      <c r="AQ206" s="27">
        <v>3000</v>
      </c>
      <c r="AR206" s="27" t="s">
        <v>94</v>
      </c>
      <c r="AS206" s="27">
        <v>900</v>
      </c>
      <c r="AT206" s="29">
        <v>41</v>
      </c>
      <c r="AU206" s="29" t="s">
        <v>100</v>
      </c>
      <c r="AV206" s="31">
        <v>42</v>
      </c>
      <c r="AW206" s="31" t="s">
        <v>100</v>
      </c>
      <c r="AX206" s="209"/>
      <c r="AY206" s="285"/>
      <c r="AZ206" s="285"/>
      <c r="BA206" s="286"/>
      <c r="BB206" s="286"/>
      <c r="BC206" s="44" t="s">
        <v>204</v>
      </c>
      <c r="BD206" s="33" t="s">
        <v>103</v>
      </c>
      <c r="BE206" s="271" t="s">
        <v>104</v>
      </c>
      <c r="BF206" s="271" t="s">
        <v>105</v>
      </c>
      <c r="BG206" s="269">
        <v>0</v>
      </c>
      <c r="BH206" s="42">
        <v>24000</v>
      </c>
      <c r="BI206" s="47" t="s">
        <v>100</v>
      </c>
      <c r="BJ206" s="32" t="s">
        <v>309</v>
      </c>
      <c r="BK206" s="32">
        <v>500</v>
      </c>
      <c r="BL206" s="26" t="s">
        <v>106</v>
      </c>
      <c r="BM206" s="26" t="s">
        <v>107</v>
      </c>
      <c r="BN206" s="209">
        <v>0</v>
      </c>
      <c r="BO206" s="26" t="s">
        <v>108</v>
      </c>
      <c r="BP206" s="34" t="s">
        <v>109</v>
      </c>
      <c r="BQ206" s="209">
        <v>4000</v>
      </c>
      <c r="BR206" s="26" t="s">
        <v>108</v>
      </c>
      <c r="BS206" s="34" t="s">
        <v>110</v>
      </c>
      <c r="BT206" s="209">
        <v>5500</v>
      </c>
      <c r="BU206" s="211">
        <v>11000</v>
      </c>
      <c r="BV206" s="212" t="s">
        <v>100</v>
      </c>
      <c r="BW206" s="212" t="s">
        <v>286</v>
      </c>
      <c r="BX206" s="213" t="s">
        <v>100</v>
      </c>
      <c r="BY206" s="213" t="s">
        <v>100</v>
      </c>
      <c r="BZ206" s="45">
        <v>2000</v>
      </c>
    </row>
    <row r="207" spans="3:78" ht="25.5">
      <c r="C207" s="1"/>
      <c r="D207" s="296"/>
      <c r="E207" s="299"/>
      <c r="F207" s="302"/>
      <c r="G207" s="174">
        <v>1190</v>
      </c>
      <c r="H207" s="62">
        <v>950</v>
      </c>
      <c r="I207" s="62">
        <v>10000</v>
      </c>
      <c r="J207" s="62">
        <v>10000</v>
      </c>
      <c r="K207" s="62">
        <v>50</v>
      </c>
      <c r="L207" s="62">
        <v>70</v>
      </c>
      <c r="M207" s="101" t="s">
        <v>225</v>
      </c>
      <c r="N207" s="197">
        <f>N175+17501</f>
        <v>257235</v>
      </c>
      <c r="O207" s="62" t="s">
        <v>89</v>
      </c>
      <c r="P207" s="62">
        <v>9</v>
      </c>
      <c r="Q207" s="64" t="s">
        <v>198</v>
      </c>
      <c r="R207" s="64" t="s">
        <v>91</v>
      </c>
      <c r="S207" s="64" t="s">
        <v>199</v>
      </c>
      <c r="T207" s="65" t="s">
        <v>92</v>
      </c>
      <c r="U207" s="65" t="s">
        <v>93</v>
      </c>
      <c r="V207" s="62" t="s">
        <v>94</v>
      </c>
      <c r="W207" s="62">
        <v>31</v>
      </c>
      <c r="X207" s="66" t="s">
        <v>95</v>
      </c>
      <c r="Y207" s="66" t="s">
        <v>96</v>
      </c>
      <c r="Z207" s="102">
        <v>8000</v>
      </c>
      <c r="AA207" s="101" t="s">
        <v>202</v>
      </c>
      <c r="AB207" s="102">
        <v>4360</v>
      </c>
      <c r="AC207" s="183" t="s">
        <v>97</v>
      </c>
      <c r="AD207" s="184" t="s">
        <v>97</v>
      </c>
      <c r="AE207" s="35"/>
      <c r="AF207" s="37">
        <f>AF175+17501</f>
        <v>242851</v>
      </c>
      <c r="AG207" s="29" t="s">
        <v>98</v>
      </c>
      <c r="AH207" s="226">
        <v>22775</v>
      </c>
      <c r="AI207" s="48" t="s">
        <v>225</v>
      </c>
      <c r="AJ207" s="39">
        <v>8000</v>
      </c>
      <c r="AK207" s="39" t="s">
        <v>202</v>
      </c>
      <c r="AL207" s="39">
        <v>4360</v>
      </c>
      <c r="AM207" s="30" t="s">
        <v>94</v>
      </c>
      <c r="AN207" s="40">
        <v>61750</v>
      </c>
      <c r="AO207" s="41" t="s">
        <v>331</v>
      </c>
      <c r="AP207" s="41" t="s">
        <v>332</v>
      </c>
      <c r="AQ207" s="27">
        <v>3000</v>
      </c>
      <c r="AR207" s="27" t="s">
        <v>94</v>
      </c>
      <c r="AS207" s="27">
        <v>900</v>
      </c>
      <c r="AT207" s="29">
        <v>41</v>
      </c>
      <c r="AU207" s="29" t="s">
        <v>100</v>
      </c>
      <c r="AV207" s="31">
        <v>42</v>
      </c>
      <c r="AW207" s="31" t="s">
        <v>100</v>
      </c>
      <c r="AX207" s="209"/>
      <c r="AY207" s="285"/>
      <c r="AZ207" s="285"/>
      <c r="BA207" s="286"/>
      <c r="BB207" s="286"/>
      <c r="BC207" s="44" t="s">
        <v>204</v>
      </c>
      <c r="BD207" s="33" t="s">
        <v>103</v>
      </c>
      <c r="BE207" s="271" t="s">
        <v>104</v>
      </c>
      <c r="BF207" s="271" t="s">
        <v>105</v>
      </c>
      <c r="BG207" s="269">
        <v>0</v>
      </c>
      <c r="BH207" s="42">
        <v>24000</v>
      </c>
      <c r="BI207" s="47" t="s">
        <v>100</v>
      </c>
      <c r="BJ207" s="32" t="s">
        <v>309</v>
      </c>
      <c r="BK207" s="32">
        <v>500</v>
      </c>
      <c r="BL207" s="26" t="s">
        <v>106</v>
      </c>
      <c r="BM207" s="26" t="s">
        <v>107</v>
      </c>
      <c r="BN207" s="209">
        <v>0</v>
      </c>
      <c r="BO207" s="26" t="s">
        <v>108</v>
      </c>
      <c r="BP207" s="34" t="s">
        <v>109</v>
      </c>
      <c r="BQ207" s="209">
        <v>4000</v>
      </c>
      <c r="BR207" s="26" t="s">
        <v>108</v>
      </c>
      <c r="BS207" s="34" t="s">
        <v>110</v>
      </c>
      <c r="BT207" s="209">
        <v>5500</v>
      </c>
      <c r="BU207" s="211">
        <v>11000</v>
      </c>
      <c r="BV207" s="212" t="s">
        <v>100</v>
      </c>
      <c r="BW207" s="212" t="s">
        <v>286</v>
      </c>
      <c r="BX207" s="213" t="s">
        <v>100</v>
      </c>
      <c r="BY207" s="213" t="s">
        <v>100</v>
      </c>
      <c r="BZ207" s="45">
        <v>2000</v>
      </c>
    </row>
    <row r="208" spans="3:78" ht="26.25" thickBot="1">
      <c r="C208" s="1"/>
      <c r="D208" s="296"/>
      <c r="E208" s="299"/>
      <c r="F208" s="302"/>
      <c r="G208" s="175">
        <v>1250</v>
      </c>
      <c r="H208" s="77">
        <v>1000</v>
      </c>
      <c r="I208" s="77">
        <v>10000</v>
      </c>
      <c r="J208" s="77">
        <v>10000</v>
      </c>
      <c r="K208" s="77">
        <v>50</v>
      </c>
      <c r="L208" s="77">
        <v>73</v>
      </c>
      <c r="M208" s="136" t="s">
        <v>225</v>
      </c>
      <c r="N208" s="198">
        <f>N176+17587</f>
        <v>258506</v>
      </c>
      <c r="O208" s="77" t="s">
        <v>89</v>
      </c>
      <c r="P208" s="77">
        <v>9</v>
      </c>
      <c r="Q208" s="79" t="s">
        <v>198</v>
      </c>
      <c r="R208" s="79" t="s">
        <v>91</v>
      </c>
      <c r="S208" s="79" t="s">
        <v>199</v>
      </c>
      <c r="T208" s="80" t="s">
        <v>92</v>
      </c>
      <c r="U208" s="80" t="s">
        <v>93</v>
      </c>
      <c r="V208" s="77" t="s">
        <v>94</v>
      </c>
      <c r="W208" s="77">
        <v>31</v>
      </c>
      <c r="X208" s="81" t="s">
        <v>95</v>
      </c>
      <c r="Y208" s="81" t="s">
        <v>96</v>
      </c>
      <c r="Z208" s="170">
        <v>8000</v>
      </c>
      <c r="AA208" s="136" t="s">
        <v>202</v>
      </c>
      <c r="AB208" s="170">
        <v>4360</v>
      </c>
      <c r="AC208" s="176" t="s">
        <v>97</v>
      </c>
      <c r="AD208" s="177" t="s">
        <v>97</v>
      </c>
      <c r="AE208" s="35"/>
      <c r="AF208" s="37">
        <f>AF176+17587</f>
        <v>244051</v>
      </c>
      <c r="AG208" s="29" t="s">
        <v>98</v>
      </c>
      <c r="AH208" s="218">
        <v>22887</v>
      </c>
      <c r="AI208" s="219" t="s">
        <v>225</v>
      </c>
      <c r="AJ208" s="220">
        <v>8000</v>
      </c>
      <c r="AK208" s="220" t="s">
        <v>202</v>
      </c>
      <c r="AL208" s="220">
        <v>4360</v>
      </c>
      <c r="AM208" s="221" t="s">
        <v>94</v>
      </c>
      <c r="AN208" s="40">
        <v>61750</v>
      </c>
      <c r="AO208" s="41" t="s">
        <v>331</v>
      </c>
      <c r="AP208" s="41" t="s">
        <v>332</v>
      </c>
      <c r="AQ208" s="27">
        <v>3000</v>
      </c>
      <c r="AR208" s="27" t="s">
        <v>94</v>
      </c>
      <c r="AS208" s="27">
        <v>900</v>
      </c>
      <c r="AT208" s="29">
        <v>41</v>
      </c>
      <c r="AU208" s="29" t="s">
        <v>100</v>
      </c>
      <c r="AV208" s="31">
        <v>42</v>
      </c>
      <c r="AW208" s="31" t="s">
        <v>100</v>
      </c>
      <c r="AX208" s="209"/>
      <c r="AY208" s="285"/>
      <c r="AZ208" s="285"/>
      <c r="BA208" s="286"/>
      <c r="BB208" s="286"/>
      <c r="BC208" s="44" t="s">
        <v>204</v>
      </c>
      <c r="BD208" s="33" t="s">
        <v>103</v>
      </c>
      <c r="BE208" s="271" t="s">
        <v>104</v>
      </c>
      <c r="BF208" s="271" t="s">
        <v>105</v>
      </c>
      <c r="BG208" s="269">
        <v>0</v>
      </c>
      <c r="BH208" s="42">
        <v>24000</v>
      </c>
      <c r="BI208" s="47" t="s">
        <v>100</v>
      </c>
      <c r="BJ208" s="32" t="s">
        <v>309</v>
      </c>
      <c r="BK208" s="32">
        <v>500</v>
      </c>
      <c r="BL208" s="26" t="s">
        <v>106</v>
      </c>
      <c r="BM208" s="26" t="s">
        <v>107</v>
      </c>
      <c r="BN208" s="209">
        <v>0</v>
      </c>
      <c r="BO208" s="26" t="s">
        <v>108</v>
      </c>
      <c r="BP208" s="34" t="s">
        <v>109</v>
      </c>
      <c r="BQ208" s="209">
        <v>4000</v>
      </c>
      <c r="BR208" s="26" t="s">
        <v>108</v>
      </c>
      <c r="BS208" s="34" t="s">
        <v>110</v>
      </c>
      <c r="BT208" s="209">
        <v>5500</v>
      </c>
      <c r="BU208" s="211">
        <v>11000</v>
      </c>
      <c r="BV208" s="212" t="s">
        <v>100</v>
      </c>
      <c r="BW208" s="212" t="s">
        <v>286</v>
      </c>
      <c r="BX208" s="213" t="s">
        <v>100</v>
      </c>
      <c r="BY208" s="213" t="s">
        <v>100</v>
      </c>
      <c r="BZ208" s="45">
        <v>2000</v>
      </c>
    </row>
    <row r="209" spans="3:78" ht="26.25" customHeight="1">
      <c r="C209" s="1"/>
      <c r="D209" s="296"/>
      <c r="E209" s="299"/>
      <c r="F209" s="302"/>
      <c r="G209" s="178">
        <v>1400</v>
      </c>
      <c r="H209" s="68">
        <v>1120</v>
      </c>
      <c r="I209" s="68">
        <v>10000</v>
      </c>
      <c r="J209" s="68">
        <v>10000</v>
      </c>
      <c r="K209" s="68">
        <v>50</v>
      </c>
      <c r="L209" s="68">
        <v>82</v>
      </c>
      <c r="M209" s="83" t="s">
        <v>226</v>
      </c>
      <c r="N209" s="196">
        <f>N177+18863</f>
        <v>277255</v>
      </c>
      <c r="O209" s="68" t="s">
        <v>89</v>
      </c>
      <c r="P209" s="68">
        <v>9</v>
      </c>
      <c r="Q209" s="70" t="s">
        <v>198</v>
      </c>
      <c r="R209" s="70" t="s">
        <v>91</v>
      </c>
      <c r="S209" s="70" t="s">
        <v>199</v>
      </c>
      <c r="T209" s="71" t="s">
        <v>92</v>
      </c>
      <c r="U209" s="71" t="s">
        <v>93</v>
      </c>
      <c r="V209" s="68" t="s">
        <v>94</v>
      </c>
      <c r="W209" s="68">
        <v>31</v>
      </c>
      <c r="X209" s="72" t="s">
        <v>95</v>
      </c>
      <c r="Y209" s="72" t="s">
        <v>96</v>
      </c>
      <c r="Z209" s="86">
        <v>12000</v>
      </c>
      <c r="AA209" s="83" t="s">
        <v>206</v>
      </c>
      <c r="AB209" s="86">
        <v>4660</v>
      </c>
      <c r="AC209" s="179" t="s">
        <v>97</v>
      </c>
      <c r="AD209" s="180" t="s">
        <v>97</v>
      </c>
      <c r="AE209" s="35"/>
      <c r="AF209" s="37">
        <f>AF177+18863</f>
        <v>261751</v>
      </c>
      <c r="AG209" s="29" t="s">
        <v>98</v>
      </c>
      <c r="AH209" s="222">
        <v>24547</v>
      </c>
      <c r="AI209" s="223" t="s">
        <v>226</v>
      </c>
      <c r="AJ209" s="224">
        <v>12000</v>
      </c>
      <c r="AK209" s="224" t="s">
        <v>206</v>
      </c>
      <c r="AL209" s="224">
        <v>4660</v>
      </c>
      <c r="AM209" s="225" t="s">
        <v>94</v>
      </c>
      <c r="AN209" s="40">
        <v>61750</v>
      </c>
      <c r="AO209" s="41" t="s">
        <v>331</v>
      </c>
      <c r="AP209" s="41" t="s">
        <v>332</v>
      </c>
      <c r="AQ209" s="27">
        <v>3000</v>
      </c>
      <c r="AR209" s="27" t="s">
        <v>94</v>
      </c>
      <c r="AS209" s="27">
        <v>900</v>
      </c>
      <c r="AT209" s="29">
        <v>41</v>
      </c>
      <c r="AU209" s="29" t="s">
        <v>100</v>
      </c>
      <c r="AV209" s="31">
        <v>42</v>
      </c>
      <c r="AW209" s="31" t="s">
        <v>100</v>
      </c>
      <c r="AX209" s="209"/>
      <c r="AY209" s="285"/>
      <c r="AZ209" s="285"/>
      <c r="BA209" s="286"/>
      <c r="BB209" s="286"/>
      <c r="BC209" s="44" t="s">
        <v>204</v>
      </c>
      <c r="BD209" s="33" t="s">
        <v>103</v>
      </c>
      <c r="BE209" s="271" t="s">
        <v>104</v>
      </c>
      <c r="BF209" s="271" t="s">
        <v>105</v>
      </c>
      <c r="BG209" s="269">
        <v>0</v>
      </c>
      <c r="BH209" s="42">
        <v>24000</v>
      </c>
      <c r="BI209" s="47" t="s">
        <v>100</v>
      </c>
      <c r="BJ209" s="32" t="s">
        <v>101</v>
      </c>
      <c r="BK209" s="32" t="s">
        <v>100</v>
      </c>
      <c r="BL209" s="26" t="s">
        <v>106</v>
      </c>
      <c r="BM209" s="26" t="s">
        <v>107</v>
      </c>
      <c r="BN209" s="209">
        <v>0</v>
      </c>
      <c r="BO209" s="26" t="s">
        <v>108</v>
      </c>
      <c r="BP209" s="34" t="s">
        <v>109</v>
      </c>
      <c r="BQ209" s="209">
        <v>4000</v>
      </c>
      <c r="BR209" s="26" t="s">
        <v>108</v>
      </c>
      <c r="BS209" s="34" t="s">
        <v>110</v>
      </c>
      <c r="BT209" s="209">
        <v>5500</v>
      </c>
      <c r="BU209" s="211">
        <v>11000</v>
      </c>
      <c r="BV209" s="212" t="s">
        <v>100</v>
      </c>
      <c r="BW209" s="212" t="s">
        <v>286</v>
      </c>
      <c r="BX209" s="213" t="s">
        <v>100</v>
      </c>
      <c r="BY209" s="213" t="s">
        <v>100</v>
      </c>
      <c r="BZ209" s="45">
        <v>2000</v>
      </c>
    </row>
    <row r="210" spans="3:78" ht="26.25" customHeight="1">
      <c r="C210" s="1"/>
      <c r="D210" s="296"/>
      <c r="E210" s="299"/>
      <c r="F210" s="302"/>
      <c r="G210" s="174">
        <v>1565</v>
      </c>
      <c r="H210" s="62">
        <v>1250</v>
      </c>
      <c r="I210" s="62">
        <v>10000</v>
      </c>
      <c r="J210" s="62">
        <v>10000</v>
      </c>
      <c r="K210" s="62">
        <v>50</v>
      </c>
      <c r="L210" s="62">
        <v>91</v>
      </c>
      <c r="M210" s="84" t="s">
        <v>226</v>
      </c>
      <c r="N210" s="197">
        <f>N178+19351</f>
        <v>284431</v>
      </c>
      <c r="O210" s="62" t="s">
        <v>89</v>
      </c>
      <c r="P210" s="62">
        <v>9</v>
      </c>
      <c r="Q210" s="64" t="s">
        <v>198</v>
      </c>
      <c r="R210" s="64" t="s">
        <v>91</v>
      </c>
      <c r="S210" s="64" t="s">
        <v>199</v>
      </c>
      <c r="T210" s="65" t="s">
        <v>92</v>
      </c>
      <c r="U210" s="65" t="s">
        <v>93</v>
      </c>
      <c r="V210" s="62" t="s">
        <v>94</v>
      </c>
      <c r="W210" s="62">
        <v>31</v>
      </c>
      <c r="X210" s="66" t="s">
        <v>95</v>
      </c>
      <c r="Y210" s="66" t="s">
        <v>96</v>
      </c>
      <c r="Z210" s="87">
        <v>12000</v>
      </c>
      <c r="AA210" s="84" t="s">
        <v>206</v>
      </c>
      <c r="AB210" s="87">
        <v>4660</v>
      </c>
      <c r="AC210" s="183" t="s">
        <v>97</v>
      </c>
      <c r="AD210" s="184" t="s">
        <v>97</v>
      </c>
      <c r="AE210" s="35"/>
      <c r="AF210" s="37">
        <f>AF178+19351</f>
        <v>268526</v>
      </c>
      <c r="AG210" s="29" t="s">
        <v>98</v>
      </c>
      <c r="AH210" s="226">
        <v>25183</v>
      </c>
      <c r="AI210" s="48" t="s">
        <v>226</v>
      </c>
      <c r="AJ210" s="39">
        <v>12000</v>
      </c>
      <c r="AK210" s="39" t="s">
        <v>206</v>
      </c>
      <c r="AL210" s="39">
        <v>4660</v>
      </c>
      <c r="AM210" s="30" t="s">
        <v>94</v>
      </c>
      <c r="AN210" s="40">
        <v>61750</v>
      </c>
      <c r="AO210" s="41" t="s">
        <v>331</v>
      </c>
      <c r="AP210" s="41" t="s">
        <v>332</v>
      </c>
      <c r="AQ210" s="27">
        <v>3000</v>
      </c>
      <c r="AR210" s="27" t="s">
        <v>94</v>
      </c>
      <c r="AS210" s="27">
        <v>900</v>
      </c>
      <c r="AT210" s="29">
        <v>41</v>
      </c>
      <c r="AU210" s="29" t="s">
        <v>100</v>
      </c>
      <c r="AV210" s="31">
        <v>42</v>
      </c>
      <c r="AW210" s="31" t="s">
        <v>100</v>
      </c>
      <c r="AX210" s="209"/>
      <c r="AY210" s="285"/>
      <c r="AZ210" s="285"/>
      <c r="BA210" s="286"/>
      <c r="BB210" s="286"/>
      <c r="BC210" s="44" t="s">
        <v>204</v>
      </c>
      <c r="BD210" s="33" t="s">
        <v>103</v>
      </c>
      <c r="BE210" s="271" t="s">
        <v>104</v>
      </c>
      <c r="BF210" s="271" t="s">
        <v>105</v>
      </c>
      <c r="BG210" s="269">
        <v>0</v>
      </c>
      <c r="BH210" s="42">
        <v>24000</v>
      </c>
      <c r="BI210" s="47" t="s">
        <v>100</v>
      </c>
      <c r="BJ210" s="32" t="s">
        <v>101</v>
      </c>
      <c r="BK210" s="32" t="s">
        <v>100</v>
      </c>
      <c r="BL210" s="26" t="s">
        <v>106</v>
      </c>
      <c r="BM210" s="26" t="s">
        <v>107</v>
      </c>
      <c r="BN210" s="209">
        <v>0</v>
      </c>
      <c r="BO210" s="26" t="s">
        <v>108</v>
      </c>
      <c r="BP210" s="34" t="s">
        <v>109</v>
      </c>
      <c r="BQ210" s="209">
        <v>4000</v>
      </c>
      <c r="BR210" s="26" t="s">
        <v>108</v>
      </c>
      <c r="BS210" s="34" t="s">
        <v>110</v>
      </c>
      <c r="BT210" s="209">
        <v>5500</v>
      </c>
      <c r="BU210" s="211">
        <v>11000</v>
      </c>
      <c r="BV210" s="212" t="s">
        <v>100</v>
      </c>
      <c r="BW210" s="212" t="s">
        <v>286</v>
      </c>
      <c r="BX210" s="213" t="s">
        <v>100</v>
      </c>
      <c r="BY210" s="213" t="s">
        <v>100</v>
      </c>
      <c r="BZ210" s="45">
        <v>2000</v>
      </c>
    </row>
    <row r="211" spans="3:78" ht="26.25" customHeight="1" thickBot="1">
      <c r="C211" s="1"/>
      <c r="D211" s="296"/>
      <c r="E211" s="299"/>
      <c r="F211" s="302"/>
      <c r="G211" s="175">
        <v>1750</v>
      </c>
      <c r="H211" s="77">
        <v>1400</v>
      </c>
      <c r="I211" s="77">
        <v>10000</v>
      </c>
      <c r="J211" s="77">
        <v>10000</v>
      </c>
      <c r="K211" s="77">
        <v>50</v>
      </c>
      <c r="L211" s="77">
        <v>98</v>
      </c>
      <c r="M211" s="85" t="s">
        <v>226</v>
      </c>
      <c r="N211" s="198">
        <f>N179+21258</f>
        <v>312460</v>
      </c>
      <c r="O211" s="77" t="s">
        <v>89</v>
      </c>
      <c r="P211" s="77">
        <v>9</v>
      </c>
      <c r="Q211" s="79" t="s">
        <v>198</v>
      </c>
      <c r="R211" s="79" t="s">
        <v>91</v>
      </c>
      <c r="S211" s="79" t="s">
        <v>199</v>
      </c>
      <c r="T211" s="80" t="s">
        <v>92</v>
      </c>
      <c r="U211" s="80" t="s">
        <v>93</v>
      </c>
      <c r="V211" s="77" t="s">
        <v>94</v>
      </c>
      <c r="W211" s="77">
        <v>31</v>
      </c>
      <c r="X211" s="81" t="s">
        <v>95</v>
      </c>
      <c r="Y211" s="81" t="s">
        <v>96</v>
      </c>
      <c r="Z211" s="88">
        <v>12000</v>
      </c>
      <c r="AA211" s="85" t="s">
        <v>206</v>
      </c>
      <c r="AB211" s="88">
        <v>4660</v>
      </c>
      <c r="AC211" s="176" t="s">
        <v>97</v>
      </c>
      <c r="AD211" s="177" t="s">
        <v>97</v>
      </c>
      <c r="AE211" s="35"/>
      <c r="AF211" s="37">
        <f>AF179+21258</f>
        <v>294988</v>
      </c>
      <c r="AG211" s="29" t="s">
        <v>98</v>
      </c>
      <c r="AH211" s="218">
        <v>27664</v>
      </c>
      <c r="AI211" s="219" t="s">
        <v>226</v>
      </c>
      <c r="AJ211" s="220">
        <v>12000</v>
      </c>
      <c r="AK211" s="220" t="s">
        <v>206</v>
      </c>
      <c r="AL211" s="220">
        <v>4660</v>
      </c>
      <c r="AM211" s="221" t="s">
        <v>94</v>
      </c>
      <c r="AN211" s="40">
        <v>61750</v>
      </c>
      <c r="AO211" s="41" t="s">
        <v>331</v>
      </c>
      <c r="AP211" s="41" t="s">
        <v>332</v>
      </c>
      <c r="AQ211" s="27">
        <v>3000</v>
      </c>
      <c r="AR211" s="27" t="s">
        <v>94</v>
      </c>
      <c r="AS211" s="27">
        <v>900</v>
      </c>
      <c r="AT211" s="29">
        <v>41</v>
      </c>
      <c r="AU211" s="29" t="s">
        <v>100</v>
      </c>
      <c r="AV211" s="31">
        <v>42</v>
      </c>
      <c r="AW211" s="31" t="s">
        <v>100</v>
      </c>
      <c r="AX211" s="209"/>
      <c r="AY211" s="285"/>
      <c r="AZ211" s="285"/>
      <c r="BA211" s="286"/>
      <c r="BB211" s="286"/>
      <c r="BC211" s="44" t="s">
        <v>204</v>
      </c>
      <c r="BD211" s="33" t="s">
        <v>103</v>
      </c>
      <c r="BE211" s="271" t="s">
        <v>104</v>
      </c>
      <c r="BF211" s="271" t="s">
        <v>105</v>
      </c>
      <c r="BG211" s="269">
        <v>0</v>
      </c>
      <c r="BH211" s="42">
        <v>27000</v>
      </c>
      <c r="BI211" s="47" t="s">
        <v>100</v>
      </c>
      <c r="BJ211" s="32" t="s">
        <v>101</v>
      </c>
      <c r="BK211" s="32" t="s">
        <v>100</v>
      </c>
      <c r="BL211" s="26" t="s">
        <v>106</v>
      </c>
      <c r="BM211" s="26" t="s">
        <v>107</v>
      </c>
      <c r="BN211" s="209">
        <v>0</v>
      </c>
      <c r="BO211" s="26" t="s">
        <v>108</v>
      </c>
      <c r="BP211" s="34" t="s">
        <v>109</v>
      </c>
      <c r="BQ211" s="209">
        <v>4000</v>
      </c>
      <c r="BR211" s="26" t="s">
        <v>108</v>
      </c>
      <c r="BS211" s="34" t="s">
        <v>110</v>
      </c>
      <c r="BT211" s="209">
        <v>5500</v>
      </c>
      <c r="BU211" s="211">
        <v>11000</v>
      </c>
      <c r="BV211" s="212" t="s">
        <v>100</v>
      </c>
      <c r="BW211" s="212" t="s">
        <v>286</v>
      </c>
      <c r="BX211" s="213" t="s">
        <v>100</v>
      </c>
      <c r="BY211" s="213" t="s">
        <v>100</v>
      </c>
      <c r="BZ211" s="45">
        <v>2000</v>
      </c>
    </row>
    <row r="212" spans="3:78" ht="26.25" customHeight="1">
      <c r="C212" s="1"/>
      <c r="D212" s="296"/>
      <c r="E212" s="299"/>
      <c r="F212" s="302"/>
      <c r="G212" s="178">
        <v>2000</v>
      </c>
      <c r="H212" s="68">
        <v>1600</v>
      </c>
      <c r="I212" s="68">
        <v>10000</v>
      </c>
      <c r="J212" s="68">
        <v>10000</v>
      </c>
      <c r="K212" s="68">
        <v>50</v>
      </c>
      <c r="L212" s="68">
        <v>115</v>
      </c>
      <c r="M212" s="103" t="s">
        <v>227</v>
      </c>
      <c r="N212" s="196">
        <f>N180+22379</f>
        <v>328934</v>
      </c>
      <c r="O212" s="68" t="s">
        <v>89</v>
      </c>
      <c r="P212" s="68">
        <v>9</v>
      </c>
      <c r="Q212" s="70" t="s">
        <v>198</v>
      </c>
      <c r="R212" s="70" t="s">
        <v>91</v>
      </c>
      <c r="S212" s="70" t="s">
        <v>199</v>
      </c>
      <c r="T212" s="71" t="s">
        <v>92</v>
      </c>
      <c r="U212" s="71" t="s">
        <v>93</v>
      </c>
      <c r="V212" s="68" t="s">
        <v>94</v>
      </c>
      <c r="W212" s="68">
        <v>31</v>
      </c>
      <c r="X212" s="72" t="s">
        <v>95</v>
      </c>
      <c r="Y212" s="72" t="s">
        <v>96</v>
      </c>
      <c r="Z212" s="104">
        <v>18000</v>
      </c>
      <c r="AA212" s="103" t="s">
        <v>207</v>
      </c>
      <c r="AB212" s="104">
        <v>4860</v>
      </c>
      <c r="AC212" s="179" t="s">
        <v>97</v>
      </c>
      <c r="AD212" s="180" t="s">
        <v>97</v>
      </c>
      <c r="AE212" s="35"/>
      <c r="AF212" s="37">
        <f>AF180+22379</f>
        <v>310541</v>
      </c>
      <c r="AG212" s="29" t="s">
        <v>98</v>
      </c>
      <c r="AH212" s="222">
        <v>29123</v>
      </c>
      <c r="AI212" s="223" t="s">
        <v>227</v>
      </c>
      <c r="AJ212" s="224">
        <v>18000</v>
      </c>
      <c r="AK212" s="224" t="s">
        <v>207</v>
      </c>
      <c r="AL212" s="224">
        <v>4860</v>
      </c>
      <c r="AM212" s="225" t="s">
        <v>94</v>
      </c>
      <c r="AN212" s="40">
        <v>68400</v>
      </c>
      <c r="AO212" s="41" t="s">
        <v>331</v>
      </c>
      <c r="AP212" s="41" t="s">
        <v>332</v>
      </c>
      <c r="AQ212" s="27">
        <v>3000</v>
      </c>
      <c r="AR212" s="27" t="s">
        <v>94</v>
      </c>
      <c r="AS212" s="27">
        <v>900</v>
      </c>
      <c r="AT212" s="29">
        <v>41</v>
      </c>
      <c r="AU212" s="29" t="s">
        <v>100</v>
      </c>
      <c r="AV212" s="31">
        <v>42</v>
      </c>
      <c r="AW212" s="31" t="s">
        <v>100</v>
      </c>
      <c r="AX212" s="209"/>
      <c r="AY212" s="285"/>
      <c r="AZ212" s="285"/>
      <c r="BA212" s="286"/>
      <c r="BB212" s="286"/>
      <c r="BC212" s="44" t="s">
        <v>204</v>
      </c>
      <c r="BD212" s="33" t="s">
        <v>103</v>
      </c>
      <c r="BE212" s="271" t="s">
        <v>104</v>
      </c>
      <c r="BF212" s="271" t="s">
        <v>105</v>
      </c>
      <c r="BG212" s="269">
        <v>0</v>
      </c>
      <c r="BH212" s="42">
        <v>27000</v>
      </c>
      <c r="BI212" s="47" t="s">
        <v>100</v>
      </c>
      <c r="BJ212" s="32" t="s">
        <v>101</v>
      </c>
      <c r="BK212" s="32" t="s">
        <v>100</v>
      </c>
      <c r="BL212" s="26" t="s">
        <v>106</v>
      </c>
      <c r="BM212" s="26" t="s">
        <v>107</v>
      </c>
      <c r="BN212" s="209">
        <v>0</v>
      </c>
      <c r="BO212" s="26" t="s">
        <v>108</v>
      </c>
      <c r="BP212" s="34" t="s">
        <v>109</v>
      </c>
      <c r="BQ212" s="209">
        <v>4000</v>
      </c>
      <c r="BR212" s="26" t="s">
        <v>108</v>
      </c>
      <c r="BS212" s="34" t="s">
        <v>110</v>
      </c>
      <c r="BT212" s="209">
        <v>5500</v>
      </c>
      <c r="BU212" s="211">
        <v>11000</v>
      </c>
      <c r="BV212" s="212" t="s">
        <v>100</v>
      </c>
      <c r="BW212" s="212" t="s">
        <v>286</v>
      </c>
      <c r="BX212" s="213" t="s">
        <v>100</v>
      </c>
      <c r="BY212" s="213" t="s">
        <v>100</v>
      </c>
      <c r="BZ212" s="45">
        <v>2000</v>
      </c>
    </row>
    <row r="213" spans="3:78" ht="26.25" customHeight="1">
      <c r="C213" s="1"/>
      <c r="D213" s="296"/>
      <c r="E213" s="299"/>
      <c r="F213" s="302"/>
      <c r="G213" s="174">
        <v>2250</v>
      </c>
      <c r="H213" s="62">
        <v>1800</v>
      </c>
      <c r="I213" s="62">
        <v>10000</v>
      </c>
      <c r="J213" s="62">
        <v>10000</v>
      </c>
      <c r="K213" s="62">
        <v>50</v>
      </c>
      <c r="L213" s="62">
        <v>130</v>
      </c>
      <c r="M213" s="101" t="s">
        <v>227</v>
      </c>
      <c r="N213" s="197">
        <f>N181+24508</f>
        <v>360239</v>
      </c>
      <c r="O213" s="62" t="s">
        <v>89</v>
      </c>
      <c r="P213" s="62">
        <v>9</v>
      </c>
      <c r="Q213" s="64" t="s">
        <v>198</v>
      </c>
      <c r="R213" s="64" t="s">
        <v>91</v>
      </c>
      <c r="S213" s="64" t="s">
        <v>199</v>
      </c>
      <c r="T213" s="65" t="s">
        <v>92</v>
      </c>
      <c r="U213" s="65" t="s">
        <v>93</v>
      </c>
      <c r="V213" s="62" t="s">
        <v>94</v>
      </c>
      <c r="W213" s="62">
        <v>31</v>
      </c>
      <c r="X213" s="66" t="s">
        <v>95</v>
      </c>
      <c r="Y213" s="66" t="s">
        <v>96</v>
      </c>
      <c r="Z213" s="102">
        <v>18000</v>
      </c>
      <c r="AA213" s="101" t="s">
        <v>207</v>
      </c>
      <c r="AB213" s="102">
        <v>4860</v>
      </c>
      <c r="AC213" s="183" t="s">
        <v>97</v>
      </c>
      <c r="AD213" s="184" t="s">
        <v>97</v>
      </c>
      <c r="AE213" s="35"/>
      <c r="AF213" s="37">
        <f>AF181+24508</f>
        <v>340095</v>
      </c>
      <c r="AG213" s="29" t="s">
        <v>98</v>
      </c>
      <c r="AH213" s="226">
        <v>31894</v>
      </c>
      <c r="AI213" s="48" t="s">
        <v>227</v>
      </c>
      <c r="AJ213" s="39">
        <v>18000</v>
      </c>
      <c r="AK213" s="39" t="s">
        <v>207</v>
      </c>
      <c r="AL213" s="39">
        <v>4860</v>
      </c>
      <c r="AM213" s="30" t="s">
        <v>94</v>
      </c>
      <c r="AN213" s="40">
        <v>68400</v>
      </c>
      <c r="AO213" s="41" t="s">
        <v>331</v>
      </c>
      <c r="AP213" s="41" t="s">
        <v>332</v>
      </c>
      <c r="AQ213" s="27">
        <v>3000</v>
      </c>
      <c r="AR213" s="27" t="s">
        <v>94</v>
      </c>
      <c r="AS213" s="27">
        <v>900</v>
      </c>
      <c r="AT213" s="29">
        <v>41</v>
      </c>
      <c r="AU213" s="29" t="s">
        <v>100</v>
      </c>
      <c r="AV213" s="31">
        <v>42</v>
      </c>
      <c r="AW213" s="31" t="s">
        <v>100</v>
      </c>
      <c r="AX213" s="209"/>
      <c r="AY213" s="285"/>
      <c r="AZ213" s="285"/>
      <c r="BA213" s="286"/>
      <c r="BB213" s="286"/>
      <c r="BC213" s="44" t="s">
        <v>204</v>
      </c>
      <c r="BD213" s="33" t="s">
        <v>103</v>
      </c>
      <c r="BE213" s="271" t="s">
        <v>104</v>
      </c>
      <c r="BF213" s="271" t="s">
        <v>105</v>
      </c>
      <c r="BG213" s="269">
        <v>0</v>
      </c>
      <c r="BH213" s="42">
        <v>27000</v>
      </c>
      <c r="BI213" s="47" t="s">
        <v>100</v>
      </c>
      <c r="BJ213" s="32" t="s">
        <v>101</v>
      </c>
      <c r="BK213" s="32" t="s">
        <v>100</v>
      </c>
      <c r="BL213" s="26" t="s">
        <v>106</v>
      </c>
      <c r="BM213" s="26" t="s">
        <v>107</v>
      </c>
      <c r="BN213" s="209">
        <v>0</v>
      </c>
      <c r="BO213" s="26" t="s">
        <v>108</v>
      </c>
      <c r="BP213" s="34" t="s">
        <v>109</v>
      </c>
      <c r="BQ213" s="209">
        <v>4000</v>
      </c>
      <c r="BR213" s="26" t="s">
        <v>108</v>
      </c>
      <c r="BS213" s="34" t="s">
        <v>110</v>
      </c>
      <c r="BT213" s="209">
        <v>5500</v>
      </c>
      <c r="BU213" s="211">
        <v>11000</v>
      </c>
      <c r="BV213" s="212" t="s">
        <v>100</v>
      </c>
      <c r="BW213" s="212" t="s">
        <v>286</v>
      </c>
      <c r="BX213" s="213" t="s">
        <v>100</v>
      </c>
      <c r="BY213" s="213" t="s">
        <v>100</v>
      </c>
      <c r="BZ213" s="45">
        <v>2000</v>
      </c>
    </row>
    <row r="214" spans="3:78" ht="26.25" customHeight="1" thickBot="1">
      <c r="C214" s="1"/>
      <c r="D214" s="296"/>
      <c r="E214" s="299"/>
      <c r="F214" s="302"/>
      <c r="G214" s="175">
        <v>2500</v>
      </c>
      <c r="H214" s="77">
        <v>2000</v>
      </c>
      <c r="I214" s="77">
        <v>10000</v>
      </c>
      <c r="J214" s="77">
        <v>10000</v>
      </c>
      <c r="K214" s="77">
        <v>50</v>
      </c>
      <c r="L214" s="77">
        <v>145</v>
      </c>
      <c r="M214" s="136" t="s">
        <v>227</v>
      </c>
      <c r="N214" s="198">
        <f>N182+25340</f>
        <v>372466</v>
      </c>
      <c r="O214" s="77" t="s">
        <v>89</v>
      </c>
      <c r="P214" s="77">
        <v>9</v>
      </c>
      <c r="Q214" s="79" t="s">
        <v>198</v>
      </c>
      <c r="R214" s="79" t="s">
        <v>91</v>
      </c>
      <c r="S214" s="79" t="s">
        <v>199</v>
      </c>
      <c r="T214" s="80" t="s">
        <v>92</v>
      </c>
      <c r="U214" s="80" t="s">
        <v>93</v>
      </c>
      <c r="V214" s="77" t="s">
        <v>94</v>
      </c>
      <c r="W214" s="77">
        <v>31</v>
      </c>
      <c r="X214" s="81" t="s">
        <v>95</v>
      </c>
      <c r="Y214" s="81" t="s">
        <v>96</v>
      </c>
      <c r="Z214" s="170">
        <v>18000</v>
      </c>
      <c r="AA214" s="136" t="s">
        <v>207</v>
      </c>
      <c r="AB214" s="170">
        <v>4860</v>
      </c>
      <c r="AC214" s="176" t="s">
        <v>97</v>
      </c>
      <c r="AD214" s="177" t="s">
        <v>97</v>
      </c>
      <c r="AE214" s="35"/>
      <c r="AF214" s="37">
        <f>AF182+25340</f>
        <v>351638</v>
      </c>
      <c r="AG214" s="29" t="s">
        <v>98</v>
      </c>
      <c r="AH214" s="218">
        <v>32977</v>
      </c>
      <c r="AI214" s="219" t="s">
        <v>227</v>
      </c>
      <c r="AJ214" s="220">
        <v>18000</v>
      </c>
      <c r="AK214" s="220" t="s">
        <v>207</v>
      </c>
      <c r="AL214" s="220">
        <v>4860</v>
      </c>
      <c r="AM214" s="221" t="s">
        <v>94</v>
      </c>
      <c r="AN214" s="235">
        <v>68400</v>
      </c>
      <c r="AO214" s="236" t="s">
        <v>331</v>
      </c>
      <c r="AP214" s="236" t="s">
        <v>332</v>
      </c>
      <c r="AQ214" s="237">
        <v>3000</v>
      </c>
      <c r="AR214" s="237" t="s">
        <v>94</v>
      </c>
      <c r="AS214" s="237">
        <v>900</v>
      </c>
      <c r="AT214" s="29">
        <v>41</v>
      </c>
      <c r="AU214" s="29" t="s">
        <v>100</v>
      </c>
      <c r="AV214" s="31">
        <v>42</v>
      </c>
      <c r="AW214" s="31" t="s">
        <v>100</v>
      </c>
      <c r="AX214" s="209"/>
      <c r="AY214" s="285"/>
      <c r="AZ214" s="285"/>
      <c r="BA214" s="286"/>
      <c r="BB214" s="286"/>
      <c r="BC214" s="44" t="s">
        <v>204</v>
      </c>
      <c r="BD214" s="33" t="s">
        <v>103</v>
      </c>
      <c r="BE214" s="271" t="s">
        <v>104</v>
      </c>
      <c r="BF214" s="271" t="s">
        <v>105</v>
      </c>
      <c r="BG214" s="269">
        <v>0</v>
      </c>
      <c r="BH214" s="42">
        <v>27000</v>
      </c>
      <c r="BI214" s="47" t="s">
        <v>100</v>
      </c>
      <c r="BJ214" s="32" t="s">
        <v>101</v>
      </c>
      <c r="BK214" s="32" t="s">
        <v>100</v>
      </c>
      <c r="BL214" s="26" t="s">
        <v>106</v>
      </c>
      <c r="BM214" s="26" t="s">
        <v>107</v>
      </c>
      <c r="BN214" s="209">
        <v>0</v>
      </c>
      <c r="BO214" s="26" t="s">
        <v>108</v>
      </c>
      <c r="BP214" s="34" t="s">
        <v>109</v>
      </c>
      <c r="BQ214" s="209">
        <v>4000</v>
      </c>
      <c r="BR214" s="26" t="s">
        <v>108</v>
      </c>
      <c r="BS214" s="34" t="s">
        <v>110</v>
      </c>
      <c r="BT214" s="209">
        <v>5500</v>
      </c>
      <c r="BU214" s="211">
        <v>11000</v>
      </c>
      <c r="BV214" s="212" t="s">
        <v>100</v>
      </c>
      <c r="BW214" s="212" t="s">
        <v>286</v>
      </c>
      <c r="BX214" s="213" t="s">
        <v>100</v>
      </c>
      <c r="BY214" s="213" t="s">
        <v>100</v>
      </c>
      <c r="BZ214" s="45">
        <v>2000</v>
      </c>
    </row>
    <row r="215" spans="3:78" ht="26.25" customHeight="1">
      <c r="C215" s="1"/>
      <c r="D215" s="296"/>
      <c r="E215" s="299"/>
      <c r="F215" s="302"/>
      <c r="G215" s="190">
        <v>2750</v>
      </c>
      <c r="H215" s="185">
        <v>2200</v>
      </c>
      <c r="I215" s="185">
        <v>10000</v>
      </c>
      <c r="J215" s="185">
        <v>10000</v>
      </c>
      <c r="K215" s="185">
        <v>50</v>
      </c>
      <c r="L215" s="185">
        <v>160</v>
      </c>
      <c r="M215" s="191" t="s">
        <v>228</v>
      </c>
      <c r="N215" s="199">
        <f>N183+29664</f>
        <v>436027</v>
      </c>
      <c r="O215" s="185" t="s">
        <v>89</v>
      </c>
      <c r="P215" s="185">
        <v>9</v>
      </c>
      <c r="Q215" s="187" t="s">
        <v>198</v>
      </c>
      <c r="R215" s="187" t="s">
        <v>91</v>
      </c>
      <c r="S215" s="187" t="s">
        <v>199</v>
      </c>
      <c r="T215" s="188" t="s">
        <v>92</v>
      </c>
      <c r="U215" s="188" t="s">
        <v>93</v>
      </c>
      <c r="V215" s="185" t="s">
        <v>94</v>
      </c>
      <c r="W215" s="185">
        <v>31</v>
      </c>
      <c r="X215" s="189" t="s">
        <v>95</v>
      </c>
      <c r="Y215" s="189" t="s">
        <v>96</v>
      </c>
      <c r="Z215" s="192">
        <v>27000</v>
      </c>
      <c r="AA215" s="191" t="s">
        <v>207</v>
      </c>
      <c r="AB215" s="192">
        <v>4930</v>
      </c>
      <c r="AC215" s="193" t="s">
        <v>97</v>
      </c>
      <c r="AD215" s="194" t="s">
        <v>97</v>
      </c>
      <c r="AE215" s="35"/>
      <c r="AF215" s="37">
        <f>AF183+29664</f>
        <v>411645</v>
      </c>
      <c r="AG215" s="29" t="s">
        <v>98</v>
      </c>
      <c r="AH215" s="222">
        <v>38604</v>
      </c>
      <c r="AI215" s="223" t="s">
        <v>228</v>
      </c>
      <c r="AJ215" s="224">
        <v>27000</v>
      </c>
      <c r="AK215" s="224" t="s">
        <v>207</v>
      </c>
      <c r="AL215" s="224">
        <v>4930</v>
      </c>
      <c r="AM215" s="225" t="s">
        <v>94</v>
      </c>
      <c r="AN215" s="232">
        <v>68400</v>
      </c>
      <c r="AO215" s="233" t="s">
        <v>304</v>
      </c>
      <c r="AP215" s="233" t="s">
        <v>307</v>
      </c>
      <c r="AQ215" s="233">
        <v>3000</v>
      </c>
      <c r="AR215" s="233" t="s">
        <v>94</v>
      </c>
      <c r="AS215" s="233">
        <v>1500</v>
      </c>
      <c r="AT215" s="29">
        <v>41</v>
      </c>
      <c r="AU215" s="29" t="s">
        <v>100</v>
      </c>
      <c r="AV215" s="31">
        <v>42</v>
      </c>
      <c r="AW215" s="31" t="s">
        <v>100</v>
      </c>
      <c r="AX215" s="209"/>
      <c r="AY215" s="285"/>
      <c r="AZ215" s="285"/>
      <c r="BA215" s="286"/>
      <c r="BB215" s="286"/>
      <c r="BC215" s="44" t="s">
        <v>204</v>
      </c>
      <c r="BD215" s="33" t="s">
        <v>103</v>
      </c>
      <c r="BE215" s="271" t="s">
        <v>104</v>
      </c>
      <c r="BF215" s="271" t="s">
        <v>105</v>
      </c>
      <c r="BG215" s="269">
        <v>0</v>
      </c>
      <c r="BH215" s="42">
        <v>27000</v>
      </c>
      <c r="BI215" s="47" t="s">
        <v>100</v>
      </c>
      <c r="BJ215" s="32" t="s">
        <v>101</v>
      </c>
      <c r="BK215" s="32" t="s">
        <v>100</v>
      </c>
      <c r="BL215" s="26" t="s">
        <v>106</v>
      </c>
      <c r="BM215" s="26" t="s">
        <v>107</v>
      </c>
      <c r="BN215" s="209">
        <v>0</v>
      </c>
      <c r="BO215" s="26" t="s">
        <v>108</v>
      </c>
      <c r="BP215" s="34" t="s">
        <v>109</v>
      </c>
      <c r="BQ215" s="209">
        <v>4000</v>
      </c>
      <c r="BR215" s="26" t="s">
        <v>108</v>
      </c>
      <c r="BS215" s="34" t="s">
        <v>110</v>
      </c>
      <c r="BT215" s="209">
        <v>5500</v>
      </c>
      <c r="BU215" s="211">
        <v>11000</v>
      </c>
      <c r="BV215" s="212" t="s">
        <v>100</v>
      </c>
      <c r="BW215" s="212" t="s">
        <v>286</v>
      </c>
      <c r="BX215" s="213" t="s">
        <v>100</v>
      </c>
      <c r="BY215" s="213" t="s">
        <v>100</v>
      </c>
      <c r="BZ215" s="45">
        <v>2000</v>
      </c>
    </row>
    <row r="216" spans="3:78" ht="26.25" thickBot="1">
      <c r="C216" s="1"/>
      <c r="D216" s="297"/>
      <c r="E216" s="300"/>
      <c r="F216" s="303"/>
      <c r="G216" s="175">
        <v>3000</v>
      </c>
      <c r="H216" s="77">
        <v>2400</v>
      </c>
      <c r="I216" s="77">
        <v>10000</v>
      </c>
      <c r="J216" s="77">
        <v>10000</v>
      </c>
      <c r="K216" s="77">
        <v>50</v>
      </c>
      <c r="L216" s="77">
        <v>173</v>
      </c>
      <c r="M216" s="85" t="s">
        <v>228</v>
      </c>
      <c r="N216" s="198">
        <f>N184+30250</f>
        <v>444633</v>
      </c>
      <c r="O216" s="77" t="s">
        <v>89</v>
      </c>
      <c r="P216" s="77">
        <v>9</v>
      </c>
      <c r="Q216" s="79" t="s">
        <v>198</v>
      </c>
      <c r="R216" s="79" t="s">
        <v>91</v>
      </c>
      <c r="S216" s="79" t="s">
        <v>199</v>
      </c>
      <c r="T216" s="80" t="s">
        <v>92</v>
      </c>
      <c r="U216" s="80" t="s">
        <v>93</v>
      </c>
      <c r="V216" s="77" t="s">
        <v>94</v>
      </c>
      <c r="W216" s="77">
        <v>31</v>
      </c>
      <c r="X216" s="81" t="s">
        <v>95</v>
      </c>
      <c r="Y216" s="81" t="s">
        <v>96</v>
      </c>
      <c r="Z216" s="88">
        <v>27000</v>
      </c>
      <c r="AA216" s="85" t="s">
        <v>207</v>
      </c>
      <c r="AB216" s="88">
        <v>4930</v>
      </c>
      <c r="AC216" s="176" t="s">
        <v>97</v>
      </c>
      <c r="AD216" s="177" t="s">
        <v>97</v>
      </c>
      <c r="AE216" s="35"/>
      <c r="AF216" s="37">
        <f>AF184+30250</f>
        <v>419770</v>
      </c>
      <c r="AG216" s="29" t="s">
        <v>98</v>
      </c>
      <c r="AH216" s="218">
        <v>39366</v>
      </c>
      <c r="AI216" s="219" t="s">
        <v>228</v>
      </c>
      <c r="AJ216" s="220">
        <v>27000</v>
      </c>
      <c r="AK216" s="220" t="s">
        <v>207</v>
      </c>
      <c r="AL216" s="220">
        <v>4930</v>
      </c>
      <c r="AM216" s="221" t="s">
        <v>94</v>
      </c>
      <c r="AN216" s="235">
        <v>68400</v>
      </c>
      <c r="AO216" s="236" t="s">
        <v>304</v>
      </c>
      <c r="AP216" s="236" t="s">
        <v>307</v>
      </c>
      <c r="AQ216" s="236">
        <v>3000</v>
      </c>
      <c r="AR216" s="236" t="s">
        <v>94</v>
      </c>
      <c r="AS216" s="236">
        <v>1500</v>
      </c>
      <c r="AT216" s="29">
        <v>41</v>
      </c>
      <c r="AU216" s="29" t="s">
        <v>100</v>
      </c>
      <c r="AV216" s="31">
        <v>42</v>
      </c>
      <c r="AW216" s="31" t="s">
        <v>100</v>
      </c>
      <c r="AX216" s="209"/>
      <c r="AY216" s="285"/>
      <c r="AZ216" s="285"/>
      <c r="BA216" s="286"/>
      <c r="BB216" s="286"/>
      <c r="BC216" s="44" t="s">
        <v>204</v>
      </c>
      <c r="BD216" s="33" t="s">
        <v>103</v>
      </c>
      <c r="BE216" s="271" t="s">
        <v>104</v>
      </c>
      <c r="BF216" s="271" t="s">
        <v>105</v>
      </c>
      <c r="BG216" s="269">
        <v>0</v>
      </c>
      <c r="BH216" s="42">
        <v>27000</v>
      </c>
      <c r="BI216" s="47" t="s">
        <v>100</v>
      </c>
      <c r="BJ216" s="32" t="s">
        <v>101</v>
      </c>
      <c r="BK216" s="32" t="s">
        <v>100</v>
      </c>
      <c r="BL216" s="26" t="s">
        <v>106</v>
      </c>
      <c r="BM216" s="26" t="s">
        <v>107</v>
      </c>
      <c r="BN216" s="209">
        <v>0</v>
      </c>
      <c r="BO216" s="26" t="s">
        <v>108</v>
      </c>
      <c r="BP216" s="34" t="s">
        <v>109</v>
      </c>
      <c r="BQ216" s="209">
        <v>4000</v>
      </c>
      <c r="BR216" s="26" t="s">
        <v>108</v>
      </c>
      <c r="BS216" s="34" t="s">
        <v>110</v>
      </c>
      <c r="BT216" s="209">
        <v>5500</v>
      </c>
      <c r="BU216" s="211">
        <v>11000</v>
      </c>
      <c r="BV216" s="212" t="s">
        <v>100</v>
      </c>
      <c r="BW216" s="212" t="s">
        <v>286</v>
      </c>
      <c r="BX216" s="213" t="s">
        <v>100</v>
      </c>
      <c r="BY216" s="213" t="s">
        <v>100</v>
      </c>
      <c r="BZ216" s="45">
        <v>2000</v>
      </c>
    </row>
    <row r="217" spans="3:78" ht="26.25" customHeight="1" thickBot="1">
      <c r="C217" s="1"/>
      <c r="D217" s="36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36"/>
      <c r="AJ217" s="36"/>
      <c r="AK217" s="1"/>
      <c r="AL217" s="36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287"/>
      <c r="AY217" s="287"/>
      <c r="AZ217" s="287"/>
      <c r="BA217" s="287"/>
      <c r="BB217" s="287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Z217" s="36"/>
    </row>
    <row r="218" spans="3:78" ht="26.25" customHeight="1">
      <c r="C218" s="1"/>
      <c r="D218" s="295">
        <v>9</v>
      </c>
      <c r="E218" s="304" t="s">
        <v>347</v>
      </c>
      <c r="F218" s="307" t="s">
        <v>346</v>
      </c>
      <c r="G218" s="67">
        <v>250</v>
      </c>
      <c r="H218" s="68">
        <v>200</v>
      </c>
      <c r="I218" s="68">
        <v>6000</v>
      </c>
      <c r="J218" s="68">
        <v>6000</v>
      </c>
      <c r="K218" s="68">
        <v>50</v>
      </c>
      <c r="L218" s="68">
        <v>25</v>
      </c>
      <c r="M218" s="83" t="s">
        <v>229</v>
      </c>
      <c r="N218" s="195">
        <f>N106*0.96</f>
        <v>143171.51999999999</v>
      </c>
      <c r="O218" s="68" t="s">
        <v>89</v>
      </c>
      <c r="P218" s="68">
        <v>5</v>
      </c>
      <c r="Q218" s="70" t="s">
        <v>198</v>
      </c>
      <c r="R218" s="70" t="s">
        <v>91</v>
      </c>
      <c r="S218" s="70" t="s">
        <v>199</v>
      </c>
      <c r="T218" s="71" t="s">
        <v>92</v>
      </c>
      <c r="U218" s="71" t="s">
        <v>93</v>
      </c>
      <c r="V218" s="179" t="s">
        <v>99</v>
      </c>
      <c r="W218" s="68">
        <v>31</v>
      </c>
      <c r="X218" s="72" t="s">
        <v>95</v>
      </c>
      <c r="Y218" s="72" t="s">
        <v>96</v>
      </c>
      <c r="Z218" s="86">
        <v>6000</v>
      </c>
      <c r="AA218" s="83" t="s">
        <v>208</v>
      </c>
      <c r="AB218" s="86">
        <v>2500</v>
      </c>
      <c r="AC218" s="68" t="s">
        <v>97</v>
      </c>
      <c r="AD218" s="73" t="s">
        <v>97</v>
      </c>
      <c r="AE218" s="28"/>
      <c r="AF218" s="37">
        <f>AF106*0.96</f>
        <v>134581.44</v>
      </c>
      <c r="AG218" s="29" t="s">
        <v>98</v>
      </c>
      <c r="AH218" s="226">
        <v>14168</v>
      </c>
      <c r="AI218" s="48" t="s">
        <v>229</v>
      </c>
      <c r="AJ218" s="39">
        <v>6000</v>
      </c>
      <c r="AK218" s="39" t="s">
        <v>208</v>
      </c>
      <c r="AL218" s="30">
        <v>2500</v>
      </c>
      <c r="AM218" s="205" t="s">
        <v>99</v>
      </c>
      <c r="AN218" s="40">
        <v>53200</v>
      </c>
      <c r="AO218" s="41" t="s">
        <v>333</v>
      </c>
      <c r="AP218" s="41" t="s">
        <v>334</v>
      </c>
      <c r="AQ218" s="27">
        <v>3000</v>
      </c>
      <c r="AR218" s="27" t="s">
        <v>94</v>
      </c>
      <c r="AS218" s="27">
        <v>900</v>
      </c>
      <c r="AT218" s="29">
        <v>41</v>
      </c>
      <c r="AU218" s="29" t="s">
        <v>100</v>
      </c>
      <c r="AV218" s="31">
        <v>42</v>
      </c>
      <c r="AW218" s="31" t="s">
        <v>100</v>
      </c>
      <c r="AX218" s="209"/>
      <c r="AY218" s="285"/>
      <c r="AZ218" s="285"/>
      <c r="BA218" s="286"/>
      <c r="BB218" s="286"/>
      <c r="BC218" s="44" t="s">
        <v>204</v>
      </c>
      <c r="BD218" s="33" t="s">
        <v>103</v>
      </c>
      <c r="BE218" s="271" t="s">
        <v>104</v>
      </c>
      <c r="BF218" s="271" t="s">
        <v>105</v>
      </c>
      <c r="BG218" s="269">
        <v>0</v>
      </c>
      <c r="BH218" s="42">
        <v>24000</v>
      </c>
      <c r="BI218" s="47" t="s">
        <v>100</v>
      </c>
      <c r="BJ218" s="32" t="s">
        <v>309</v>
      </c>
      <c r="BK218" s="32">
        <v>500</v>
      </c>
      <c r="BL218" s="26" t="s">
        <v>106</v>
      </c>
      <c r="BM218" s="26" t="s">
        <v>107</v>
      </c>
      <c r="BN218" s="209">
        <v>0</v>
      </c>
      <c r="BO218" s="26" t="s">
        <v>108</v>
      </c>
      <c r="BP218" s="34" t="s">
        <v>109</v>
      </c>
      <c r="BQ218" s="209">
        <v>4000</v>
      </c>
      <c r="BR218" s="26" t="s">
        <v>108</v>
      </c>
      <c r="BS218" s="34" t="s">
        <v>110</v>
      </c>
      <c r="BT218" s="209">
        <v>5500</v>
      </c>
      <c r="BU218" s="211">
        <v>11000</v>
      </c>
      <c r="BV218" s="212" t="s">
        <v>100</v>
      </c>
      <c r="BW218" s="212" t="s">
        <v>286</v>
      </c>
      <c r="BX218" s="213" t="s">
        <v>100</v>
      </c>
      <c r="BY218" s="213" t="s">
        <v>100</v>
      </c>
      <c r="BZ218" s="45">
        <v>2000</v>
      </c>
    </row>
    <row r="219" spans="3:78" ht="26.25" customHeight="1" thickBot="1">
      <c r="C219" s="1"/>
      <c r="D219" s="296"/>
      <c r="E219" s="310"/>
      <c r="F219" s="308"/>
      <c r="G219" s="74">
        <v>275</v>
      </c>
      <c r="H219" s="62">
        <v>220</v>
      </c>
      <c r="I219" s="62">
        <v>6000</v>
      </c>
      <c r="J219" s="62">
        <v>6000</v>
      </c>
      <c r="K219" s="62">
        <v>50</v>
      </c>
      <c r="L219" s="62">
        <v>28</v>
      </c>
      <c r="M219" s="84" t="s">
        <v>229</v>
      </c>
      <c r="N219" s="63">
        <f t="shared" ref="N219:N240" si="0">N107*0.96</f>
        <v>144425.28</v>
      </c>
      <c r="O219" s="62" t="s">
        <v>89</v>
      </c>
      <c r="P219" s="62">
        <v>5</v>
      </c>
      <c r="Q219" s="64" t="s">
        <v>198</v>
      </c>
      <c r="R219" s="64" t="s">
        <v>91</v>
      </c>
      <c r="S219" s="64" t="s">
        <v>199</v>
      </c>
      <c r="T219" s="65" t="s">
        <v>92</v>
      </c>
      <c r="U219" s="65" t="s">
        <v>93</v>
      </c>
      <c r="V219" s="62" t="s">
        <v>99</v>
      </c>
      <c r="W219" s="62">
        <v>31</v>
      </c>
      <c r="X219" s="66" t="s">
        <v>95</v>
      </c>
      <c r="Y219" s="66" t="s">
        <v>96</v>
      </c>
      <c r="Z219" s="87">
        <v>6000</v>
      </c>
      <c r="AA219" s="84" t="s">
        <v>208</v>
      </c>
      <c r="AB219" s="87">
        <v>2500</v>
      </c>
      <c r="AC219" s="62" t="s">
        <v>97</v>
      </c>
      <c r="AD219" s="75" t="s">
        <v>97</v>
      </c>
      <c r="AE219" s="35"/>
      <c r="AF219" s="37">
        <f t="shared" ref="AF219:AF240" si="1">AF107*0.96</f>
        <v>135759.35999999999</v>
      </c>
      <c r="AG219" s="29" t="s">
        <v>98</v>
      </c>
      <c r="AH219" s="218">
        <v>14292</v>
      </c>
      <c r="AI219" s="219" t="s">
        <v>229</v>
      </c>
      <c r="AJ219" s="220">
        <v>6000</v>
      </c>
      <c r="AK219" s="220" t="s">
        <v>208</v>
      </c>
      <c r="AL219" s="221">
        <v>2500</v>
      </c>
      <c r="AM219" s="283" t="s">
        <v>99</v>
      </c>
      <c r="AN219" s="40">
        <v>53200</v>
      </c>
      <c r="AO219" s="41" t="s">
        <v>333</v>
      </c>
      <c r="AP219" s="41" t="s">
        <v>334</v>
      </c>
      <c r="AQ219" s="27">
        <v>3000</v>
      </c>
      <c r="AR219" s="27" t="s">
        <v>94</v>
      </c>
      <c r="AS219" s="27">
        <v>900</v>
      </c>
      <c r="AT219" s="29">
        <v>41</v>
      </c>
      <c r="AU219" s="29" t="s">
        <v>100</v>
      </c>
      <c r="AV219" s="31">
        <v>42</v>
      </c>
      <c r="AW219" s="31" t="s">
        <v>100</v>
      </c>
      <c r="AX219" s="209"/>
      <c r="AY219" s="285"/>
      <c r="AZ219" s="285"/>
      <c r="BA219" s="286"/>
      <c r="BB219" s="286"/>
      <c r="BC219" s="44" t="s">
        <v>204</v>
      </c>
      <c r="BD219" s="33" t="s">
        <v>103</v>
      </c>
      <c r="BE219" s="271" t="s">
        <v>104</v>
      </c>
      <c r="BF219" s="271" t="s">
        <v>105</v>
      </c>
      <c r="BG219" s="269">
        <v>0</v>
      </c>
      <c r="BH219" s="42">
        <v>24000</v>
      </c>
      <c r="BI219" s="47" t="s">
        <v>100</v>
      </c>
      <c r="BJ219" s="32" t="s">
        <v>309</v>
      </c>
      <c r="BK219" s="32">
        <v>500</v>
      </c>
      <c r="BL219" s="26" t="s">
        <v>106</v>
      </c>
      <c r="BM219" s="26" t="s">
        <v>107</v>
      </c>
      <c r="BN219" s="209">
        <v>0</v>
      </c>
      <c r="BO219" s="26" t="s">
        <v>108</v>
      </c>
      <c r="BP219" s="34" t="s">
        <v>109</v>
      </c>
      <c r="BQ219" s="209">
        <v>4000</v>
      </c>
      <c r="BR219" s="26" t="s">
        <v>108</v>
      </c>
      <c r="BS219" s="34" t="s">
        <v>110</v>
      </c>
      <c r="BT219" s="209">
        <v>5500</v>
      </c>
      <c r="BU219" s="211">
        <v>11000</v>
      </c>
      <c r="BV219" s="212" t="s">
        <v>100</v>
      </c>
      <c r="BW219" s="212" t="s">
        <v>286</v>
      </c>
      <c r="BX219" s="213" t="s">
        <v>100</v>
      </c>
      <c r="BY219" s="213" t="s">
        <v>100</v>
      </c>
      <c r="BZ219" s="45">
        <v>2000</v>
      </c>
    </row>
    <row r="220" spans="3:78" ht="26.25" customHeight="1">
      <c r="C220" s="1"/>
      <c r="D220" s="296"/>
      <c r="E220" s="310"/>
      <c r="F220" s="308"/>
      <c r="G220" s="74">
        <v>315</v>
      </c>
      <c r="H220" s="62">
        <v>250</v>
      </c>
      <c r="I220" s="62">
        <v>6000</v>
      </c>
      <c r="J220" s="62">
        <v>6000</v>
      </c>
      <c r="K220" s="62">
        <v>50</v>
      </c>
      <c r="L220" s="62">
        <v>32</v>
      </c>
      <c r="M220" s="84" t="s">
        <v>229</v>
      </c>
      <c r="N220" s="63">
        <f t="shared" si="0"/>
        <v>148219.19999999998</v>
      </c>
      <c r="O220" s="62" t="s">
        <v>89</v>
      </c>
      <c r="P220" s="62">
        <v>5</v>
      </c>
      <c r="Q220" s="64" t="s">
        <v>198</v>
      </c>
      <c r="R220" s="64" t="s">
        <v>91</v>
      </c>
      <c r="S220" s="64" t="s">
        <v>199</v>
      </c>
      <c r="T220" s="65" t="s">
        <v>92</v>
      </c>
      <c r="U220" s="65" t="s">
        <v>93</v>
      </c>
      <c r="V220" s="62" t="s">
        <v>99</v>
      </c>
      <c r="W220" s="62">
        <v>31</v>
      </c>
      <c r="X220" s="66" t="s">
        <v>95</v>
      </c>
      <c r="Y220" s="66" t="s">
        <v>96</v>
      </c>
      <c r="Z220" s="87">
        <v>6000</v>
      </c>
      <c r="AA220" s="84" t="s">
        <v>208</v>
      </c>
      <c r="AB220" s="87">
        <v>2500</v>
      </c>
      <c r="AC220" s="62" t="s">
        <v>97</v>
      </c>
      <c r="AD220" s="75" t="s">
        <v>97</v>
      </c>
      <c r="AE220" s="35"/>
      <c r="AF220" s="37">
        <f t="shared" si="1"/>
        <v>139325.76000000001</v>
      </c>
      <c r="AG220" s="29" t="s">
        <v>98</v>
      </c>
      <c r="AH220" s="222">
        <v>14668</v>
      </c>
      <c r="AI220" s="223" t="s">
        <v>230</v>
      </c>
      <c r="AJ220" s="224">
        <v>8000</v>
      </c>
      <c r="AK220" s="224" t="s">
        <v>209</v>
      </c>
      <c r="AL220" s="225">
        <v>2900</v>
      </c>
      <c r="AM220" s="284" t="s">
        <v>99</v>
      </c>
      <c r="AN220" s="40">
        <v>53200</v>
      </c>
      <c r="AO220" s="41" t="s">
        <v>333</v>
      </c>
      <c r="AP220" s="41" t="s">
        <v>334</v>
      </c>
      <c r="AQ220" s="27">
        <v>3000</v>
      </c>
      <c r="AR220" s="27" t="s">
        <v>94</v>
      </c>
      <c r="AS220" s="27">
        <v>900</v>
      </c>
      <c r="AT220" s="29">
        <v>41</v>
      </c>
      <c r="AU220" s="29" t="s">
        <v>100</v>
      </c>
      <c r="AV220" s="31">
        <v>42</v>
      </c>
      <c r="AW220" s="31" t="s">
        <v>100</v>
      </c>
      <c r="AX220" s="209"/>
      <c r="AY220" s="285"/>
      <c r="AZ220" s="285"/>
      <c r="BA220" s="286"/>
      <c r="BB220" s="286"/>
      <c r="BC220" s="44" t="s">
        <v>204</v>
      </c>
      <c r="BD220" s="33" t="s">
        <v>103</v>
      </c>
      <c r="BE220" s="271" t="s">
        <v>104</v>
      </c>
      <c r="BF220" s="271" t="s">
        <v>105</v>
      </c>
      <c r="BG220" s="269">
        <v>0</v>
      </c>
      <c r="BH220" s="42">
        <v>24000</v>
      </c>
      <c r="BI220" s="47" t="s">
        <v>100</v>
      </c>
      <c r="BJ220" s="32" t="s">
        <v>309</v>
      </c>
      <c r="BK220" s="32">
        <v>500</v>
      </c>
      <c r="BL220" s="26" t="s">
        <v>106</v>
      </c>
      <c r="BM220" s="26" t="s">
        <v>107</v>
      </c>
      <c r="BN220" s="209">
        <v>0</v>
      </c>
      <c r="BO220" s="26" t="s">
        <v>108</v>
      </c>
      <c r="BP220" s="34" t="s">
        <v>109</v>
      </c>
      <c r="BQ220" s="209">
        <v>4000</v>
      </c>
      <c r="BR220" s="26" t="s">
        <v>108</v>
      </c>
      <c r="BS220" s="34" t="s">
        <v>110</v>
      </c>
      <c r="BT220" s="209">
        <v>5500</v>
      </c>
      <c r="BU220" s="211">
        <v>11000</v>
      </c>
      <c r="BV220" s="212" t="s">
        <v>100</v>
      </c>
      <c r="BW220" s="212" t="s">
        <v>286</v>
      </c>
      <c r="BX220" s="213" t="s">
        <v>100</v>
      </c>
      <c r="BY220" s="213" t="s">
        <v>100</v>
      </c>
      <c r="BZ220" s="45">
        <v>2000</v>
      </c>
    </row>
    <row r="221" spans="3:78" ht="25.5">
      <c r="C221" s="1"/>
      <c r="D221" s="296"/>
      <c r="E221" s="310"/>
      <c r="F221" s="308"/>
      <c r="G221" s="74">
        <v>350</v>
      </c>
      <c r="H221" s="62">
        <v>280</v>
      </c>
      <c r="I221" s="62">
        <v>6000</v>
      </c>
      <c r="J221" s="62">
        <v>6000</v>
      </c>
      <c r="K221" s="62">
        <v>50</v>
      </c>
      <c r="L221" s="62">
        <v>35</v>
      </c>
      <c r="M221" s="84" t="s">
        <v>229</v>
      </c>
      <c r="N221" s="63">
        <f t="shared" si="0"/>
        <v>149062.07999999999</v>
      </c>
      <c r="O221" s="62" t="s">
        <v>89</v>
      </c>
      <c r="P221" s="62">
        <v>5</v>
      </c>
      <c r="Q221" s="64" t="s">
        <v>198</v>
      </c>
      <c r="R221" s="64" t="s">
        <v>91</v>
      </c>
      <c r="S221" s="64" t="s">
        <v>199</v>
      </c>
      <c r="T221" s="65" t="s">
        <v>92</v>
      </c>
      <c r="U221" s="65" t="s">
        <v>93</v>
      </c>
      <c r="V221" s="62" t="s">
        <v>99</v>
      </c>
      <c r="W221" s="62">
        <v>31</v>
      </c>
      <c r="X221" s="66" t="s">
        <v>95</v>
      </c>
      <c r="Y221" s="66" t="s">
        <v>96</v>
      </c>
      <c r="Z221" s="87">
        <v>6000</v>
      </c>
      <c r="AA221" s="84" t="s">
        <v>208</v>
      </c>
      <c r="AB221" s="87">
        <v>2500</v>
      </c>
      <c r="AC221" s="62" t="s">
        <v>97</v>
      </c>
      <c r="AD221" s="75" t="s">
        <v>97</v>
      </c>
      <c r="AE221" s="35"/>
      <c r="AF221" s="37">
        <f t="shared" si="1"/>
        <v>140118.72</v>
      </c>
      <c r="AG221" s="29" t="s">
        <v>98</v>
      </c>
      <c r="AH221" s="226">
        <v>14751</v>
      </c>
      <c r="AI221" s="48" t="s">
        <v>230</v>
      </c>
      <c r="AJ221" s="39">
        <v>8000</v>
      </c>
      <c r="AK221" s="39" t="s">
        <v>209</v>
      </c>
      <c r="AL221" s="30">
        <v>2900</v>
      </c>
      <c r="AM221" s="205" t="s">
        <v>99</v>
      </c>
      <c r="AN221" s="40">
        <v>53200</v>
      </c>
      <c r="AO221" s="41" t="s">
        <v>333</v>
      </c>
      <c r="AP221" s="41" t="s">
        <v>334</v>
      </c>
      <c r="AQ221" s="27">
        <v>3000</v>
      </c>
      <c r="AR221" s="27" t="s">
        <v>94</v>
      </c>
      <c r="AS221" s="27">
        <v>900</v>
      </c>
      <c r="AT221" s="29">
        <v>41</v>
      </c>
      <c r="AU221" s="29" t="s">
        <v>100</v>
      </c>
      <c r="AV221" s="31">
        <v>42</v>
      </c>
      <c r="AW221" s="31" t="s">
        <v>100</v>
      </c>
      <c r="AX221" s="209"/>
      <c r="AY221" s="285"/>
      <c r="AZ221" s="285"/>
      <c r="BA221" s="286"/>
      <c r="BB221" s="286"/>
      <c r="BC221" s="44" t="s">
        <v>204</v>
      </c>
      <c r="BD221" s="33" t="s">
        <v>103</v>
      </c>
      <c r="BE221" s="271" t="s">
        <v>104</v>
      </c>
      <c r="BF221" s="271" t="s">
        <v>105</v>
      </c>
      <c r="BG221" s="269">
        <v>0</v>
      </c>
      <c r="BH221" s="42">
        <v>24000</v>
      </c>
      <c r="BI221" s="47" t="s">
        <v>100</v>
      </c>
      <c r="BJ221" s="32" t="s">
        <v>309</v>
      </c>
      <c r="BK221" s="32">
        <v>500</v>
      </c>
      <c r="BL221" s="26" t="s">
        <v>106</v>
      </c>
      <c r="BM221" s="26" t="s">
        <v>107</v>
      </c>
      <c r="BN221" s="209">
        <v>0</v>
      </c>
      <c r="BO221" s="26" t="s">
        <v>108</v>
      </c>
      <c r="BP221" s="34" t="s">
        <v>109</v>
      </c>
      <c r="BQ221" s="209">
        <v>4000</v>
      </c>
      <c r="BR221" s="26" t="s">
        <v>108</v>
      </c>
      <c r="BS221" s="34" t="s">
        <v>110</v>
      </c>
      <c r="BT221" s="209">
        <v>5500</v>
      </c>
      <c r="BU221" s="211">
        <v>11000</v>
      </c>
      <c r="BV221" s="212" t="s">
        <v>100</v>
      </c>
      <c r="BW221" s="212" t="s">
        <v>286</v>
      </c>
      <c r="BX221" s="213" t="s">
        <v>100</v>
      </c>
      <c r="BY221" s="213" t="s">
        <v>100</v>
      </c>
      <c r="BZ221" s="45">
        <v>2000</v>
      </c>
    </row>
    <row r="222" spans="3:78" ht="25.5">
      <c r="C222" s="1"/>
      <c r="D222" s="296"/>
      <c r="E222" s="310"/>
      <c r="F222" s="308"/>
      <c r="G222" s="74">
        <v>375</v>
      </c>
      <c r="H222" s="62">
        <v>300</v>
      </c>
      <c r="I222" s="62">
        <v>6000</v>
      </c>
      <c r="J222" s="62">
        <v>6000</v>
      </c>
      <c r="K222" s="62">
        <v>50</v>
      </c>
      <c r="L222" s="62">
        <v>38</v>
      </c>
      <c r="M222" s="84" t="s">
        <v>229</v>
      </c>
      <c r="N222" s="63">
        <f t="shared" si="0"/>
        <v>154061.75999999998</v>
      </c>
      <c r="O222" s="62" t="s">
        <v>89</v>
      </c>
      <c r="P222" s="62">
        <v>5</v>
      </c>
      <c r="Q222" s="64" t="s">
        <v>198</v>
      </c>
      <c r="R222" s="64" t="s">
        <v>91</v>
      </c>
      <c r="S222" s="64" t="s">
        <v>199</v>
      </c>
      <c r="T222" s="65" t="s">
        <v>92</v>
      </c>
      <c r="U222" s="65" t="s">
        <v>93</v>
      </c>
      <c r="V222" s="62" t="s">
        <v>99</v>
      </c>
      <c r="W222" s="62">
        <v>31</v>
      </c>
      <c r="X222" s="66" t="s">
        <v>95</v>
      </c>
      <c r="Y222" s="66" t="s">
        <v>96</v>
      </c>
      <c r="Z222" s="87">
        <v>6000</v>
      </c>
      <c r="AA222" s="84" t="s">
        <v>208</v>
      </c>
      <c r="AB222" s="87">
        <v>2500</v>
      </c>
      <c r="AC222" s="62" t="s">
        <v>97</v>
      </c>
      <c r="AD222" s="75" t="s">
        <v>97</v>
      </c>
      <c r="AE222" s="35"/>
      <c r="AF222" s="37">
        <f t="shared" si="1"/>
        <v>144817.91999999998</v>
      </c>
      <c r="AG222" s="29" t="s">
        <v>98</v>
      </c>
      <c r="AH222" s="226">
        <v>15246</v>
      </c>
      <c r="AI222" s="48" t="s">
        <v>230</v>
      </c>
      <c r="AJ222" s="39">
        <v>8000</v>
      </c>
      <c r="AK222" s="39" t="s">
        <v>209</v>
      </c>
      <c r="AL222" s="30">
        <v>2900</v>
      </c>
      <c r="AM222" s="205" t="s">
        <v>99</v>
      </c>
      <c r="AN222" s="40">
        <v>53200</v>
      </c>
      <c r="AO222" s="41" t="s">
        <v>333</v>
      </c>
      <c r="AP222" s="41" t="s">
        <v>334</v>
      </c>
      <c r="AQ222" s="27">
        <v>3000</v>
      </c>
      <c r="AR222" s="27" t="s">
        <v>94</v>
      </c>
      <c r="AS222" s="27">
        <v>900</v>
      </c>
      <c r="AT222" s="29">
        <v>41</v>
      </c>
      <c r="AU222" s="29" t="s">
        <v>100</v>
      </c>
      <c r="AV222" s="31">
        <v>42</v>
      </c>
      <c r="AW222" s="31" t="s">
        <v>100</v>
      </c>
      <c r="AX222" s="209"/>
      <c r="AY222" s="285"/>
      <c r="AZ222" s="285"/>
      <c r="BA222" s="286"/>
      <c r="BB222" s="286"/>
      <c r="BC222" s="44" t="s">
        <v>204</v>
      </c>
      <c r="BD222" s="33" t="s">
        <v>103</v>
      </c>
      <c r="BE222" s="271" t="s">
        <v>104</v>
      </c>
      <c r="BF222" s="271" t="s">
        <v>105</v>
      </c>
      <c r="BG222" s="269">
        <v>0</v>
      </c>
      <c r="BH222" s="42">
        <v>24000</v>
      </c>
      <c r="BI222" s="47" t="s">
        <v>100</v>
      </c>
      <c r="BJ222" s="32" t="s">
        <v>309</v>
      </c>
      <c r="BK222" s="32">
        <v>500</v>
      </c>
      <c r="BL222" s="26" t="s">
        <v>106</v>
      </c>
      <c r="BM222" s="26" t="s">
        <v>107</v>
      </c>
      <c r="BN222" s="209">
        <v>0</v>
      </c>
      <c r="BO222" s="26" t="s">
        <v>108</v>
      </c>
      <c r="BP222" s="34" t="s">
        <v>109</v>
      </c>
      <c r="BQ222" s="209">
        <v>4000</v>
      </c>
      <c r="BR222" s="26" t="s">
        <v>108</v>
      </c>
      <c r="BS222" s="34" t="s">
        <v>110</v>
      </c>
      <c r="BT222" s="209">
        <v>5500</v>
      </c>
      <c r="BU222" s="211">
        <v>11000</v>
      </c>
      <c r="BV222" s="212" t="s">
        <v>100</v>
      </c>
      <c r="BW222" s="212" t="s">
        <v>286</v>
      </c>
      <c r="BX222" s="213" t="s">
        <v>100</v>
      </c>
      <c r="BY222" s="213" t="s">
        <v>100</v>
      </c>
      <c r="BZ222" s="45">
        <v>2000</v>
      </c>
    </row>
    <row r="223" spans="3:78" ht="26.25" thickBot="1">
      <c r="C223" s="1"/>
      <c r="D223" s="296"/>
      <c r="E223" s="310"/>
      <c r="F223" s="308"/>
      <c r="G223" s="76">
        <v>420</v>
      </c>
      <c r="H223" s="77">
        <v>335</v>
      </c>
      <c r="I223" s="77">
        <v>6000</v>
      </c>
      <c r="J223" s="77">
        <v>6000</v>
      </c>
      <c r="K223" s="77">
        <v>50</v>
      </c>
      <c r="L223" s="77">
        <v>42</v>
      </c>
      <c r="M223" s="85" t="s">
        <v>229</v>
      </c>
      <c r="N223" s="78">
        <f t="shared" si="0"/>
        <v>155137.91999999998</v>
      </c>
      <c r="O223" s="77" t="s">
        <v>89</v>
      </c>
      <c r="P223" s="77">
        <v>5</v>
      </c>
      <c r="Q223" s="79" t="s">
        <v>198</v>
      </c>
      <c r="R223" s="79" t="s">
        <v>91</v>
      </c>
      <c r="S223" s="79" t="s">
        <v>199</v>
      </c>
      <c r="T223" s="80" t="s">
        <v>92</v>
      </c>
      <c r="U223" s="80" t="s">
        <v>93</v>
      </c>
      <c r="V223" s="77" t="s">
        <v>99</v>
      </c>
      <c r="W223" s="77">
        <v>31</v>
      </c>
      <c r="X223" s="81" t="s">
        <v>95</v>
      </c>
      <c r="Y223" s="81" t="s">
        <v>96</v>
      </c>
      <c r="Z223" s="88">
        <v>6000</v>
      </c>
      <c r="AA223" s="85" t="s">
        <v>208</v>
      </c>
      <c r="AB223" s="88">
        <v>2500</v>
      </c>
      <c r="AC223" s="77" t="s">
        <v>97</v>
      </c>
      <c r="AD223" s="82" t="s">
        <v>97</v>
      </c>
      <c r="AE223" s="35"/>
      <c r="AF223" s="37">
        <f t="shared" si="1"/>
        <v>145829.75999999998</v>
      </c>
      <c r="AG223" s="29" t="s">
        <v>98</v>
      </c>
      <c r="AH223" s="226">
        <v>15352</v>
      </c>
      <c r="AI223" s="48" t="s">
        <v>230</v>
      </c>
      <c r="AJ223" s="39">
        <v>8000</v>
      </c>
      <c r="AK223" s="39" t="s">
        <v>209</v>
      </c>
      <c r="AL223" s="30">
        <v>2900</v>
      </c>
      <c r="AM223" s="205" t="s">
        <v>99</v>
      </c>
      <c r="AN223" s="40">
        <v>53200</v>
      </c>
      <c r="AO223" s="41" t="s">
        <v>333</v>
      </c>
      <c r="AP223" s="41" t="s">
        <v>334</v>
      </c>
      <c r="AQ223" s="27">
        <v>3000</v>
      </c>
      <c r="AR223" s="27" t="s">
        <v>94</v>
      </c>
      <c r="AS223" s="27">
        <v>900</v>
      </c>
      <c r="AT223" s="29">
        <v>41</v>
      </c>
      <c r="AU223" s="29" t="s">
        <v>100</v>
      </c>
      <c r="AV223" s="31">
        <v>42</v>
      </c>
      <c r="AW223" s="31" t="s">
        <v>100</v>
      </c>
      <c r="AX223" s="209"/>
      <c r="AY223" s="285"/>
      <c r="AZ223" s="285"/>
      <c r="BA223" s="286"/>
      <c r="BB223" s="286"/>
      <c r="BC223" s="44" t="s">
        <v>204</v>
      </c>
      <c r="BD223" s="33" t="s">
        <v>103</v>
      </c>
      <c r="BE223" s="271" t="s">
        <v>104</v>
      </c>
      <c r="BF223" s="271" t="s">
        <v>105</v>
      </c>
      <c r="BG223" s="269">
        <v>0</v>
      </c>
      <c r="BH223" s="42">
        <v>24000</v>
      </c>
      <c r="BI223" s="47" t="s">
        <v>100</v>
      </c>
      <c r="BJ223" s="32" t="s">
        <v>309</v>
      </c>
      <c r="BK223" s="32">
        <v>500</v>
      </c>
      <c r="BL223" s="26" t="s">
        <v>106</v>
      </c>
      <c r="BM223" s="26" t="s">
        <v>107</v>
      </c>
      <c r="BN223" s="209">
        <v>0</v>
      </c>
      <c r="BO223" s="26" t="s">
        <v>108</v>
      </c>
      <c r="BP223" s="34" t="s">
        <v>109</v>
      </c>
      <c r="BQ223" s="209">
        <v>4000</v>
      </c>
      <c r="BR223" s="26" t="s">
        <v>108</v>
      </c>
      <c r="BS223" s="34" t="s">
        <v>110</v>
      </c>
      <c r="BT223" s="209">
        <v>5500</v>
      </c>
      <c r="BU223" s="211">
        <v>11000</v>
      </c>
      <c r="BV223" s="212" t="s">
        <v>100</v>
      </c>
      <c r="BW223" s="212" t="s">
        <v>286</v>
      </c>
      <c r="BX223" s="213" t="s">
        <v>100</v>
      </c>
      <c r="BY223" s="213" t="s">
        <v>100</v>
      </c>
      <c r="BZ223" s="45">
        <v>2000</v>
      </c>
    </row>
    <row r="224" spans="3:78" ht="25.5" customHeight="1">
      <c r="C224" s="1"/>
      <c r="D224" s="296"/>
      <c r="E224" s="310"/>
      <c r="F224" s="308"/>
      <c r="G224" s="67">
        <v>470</v>
      </c>
      <c r="H224" s="68">
        <v>375</v>
      </c>
      <c r="I224" s="68">
        <v>6000</v>
      </c>
      <c r="J224" s="68">
        <v>6000</v>
      </c>
      <c r="K224" s="68">
        <v>50</v>
      </c>
      <c r="L224" s="68">
        <v>47</v>
      </c>
      <c r="M224" s="103" t="s">
        <v>230</v>
      </c>
      <c r="N224" s="69">
        <f t="shared" si="0"/>
        <v>155985.60000000001</v>
      </c>
      <c r="O224" s="68" t="s">
        <v>89</v>
      </c>
      <c r="P224" s="68">
        <v>5</v>
      </c>
      <c r="Q224" s="70" t="s">
        <v>198</v>
      </c>
      <c r="R224" s="70" t="s">
        <v>91</v>
      </c>
      <c r="S224" s="70" t="s">
        <v>199</v>
      </c>
      <c r="T224" s="71" t="s">
        <v>92</v>
      </c>
      <c r="U224" s="71" t="s">
        <v>93</v>
      </c>
      <c r="V224" s="68" t="s">
        <v>99</v>
      </c>
      <c r="W224" s="68">
        <v>31</v>
      </c>
      <c r="X224" s="72" t="s">
        <v>95</v>
      </c>
      <c r="Y224" s="72" t="s">
        <v>96</v>
      </c>
      <c r="Z224" s="104">
        <v>8000</v>
      </c>
      <c r="AA224" s="103" t="s">
        <v>209</v>
      </c>
      <c r="AB224" s="104">
        <v>2900</v>
      </c>
      <c r="AC224" s="68" t="s">
        <v>97</v>
      </c>
      <c r="AD224" s="73" t="s">
        <v>97</v>
      </c>
      <c r="AE224" s="35"/>
      <c r="AF224" s="37">
        <f t="shared" si="1"/>
        <v>146626.56</v>
      </c>
      <c r="AG224" s="29" t="s">
        <v>98</v>
      </c>
      <c r="AH224" s="226">
        <v>15436</v>
      </c>
      <c r="AI224" s="48" t="s">
        <v>230</v>
      </c>
      <c r="AJ224" s="39">
        <v>8000</v>
      </c>
      <c r="AK224" s="39" t="s">
        <v>209</v>
      </c>
      <c r="AL224" s="30">
        <v>2900</v>
      </c>
      <c r="AM224" s="205" t="s">
        <v>99</v>
      </c>
      <c r="AN224" s="40">
        <v>53200</v>
      </c>
      <c r="AO224" s="41" t="s">
        <v>333</v>
      </c>
      <c r="AP224" s="41" t="s">
        <v>334</v>
      </c>
      <c r="AQ224" s="27">
        <v>3000</v>
      </c>
      <c r="AR224" s="27" t="s">
        <v>94</v>
      </c>
      <c r="AS224" s="27">
        <v>900</v>
      </c>
      <c r="AT224" s="29">
        <v>41</v>
      </c>
      <c r="AU224" s="29" t="s">
        <v>100</v>
      </c>
      <c r="AV224" s="31">
        <v>42</v>
      </c>
      <c r="AW224" s="31" t="s">
        <v>100</v>
      </c>
      <c r="AX224" s="209"/>
      <c r="AY224" s="285"/>
      <c r="AZ224" s="285"/>
      <c r="BA224" s="286"/>
      <c r="BB224" s="286"/>
      <c r="BC224" s="44" t="s">
        <v>204</v>
      </c>
      <c r="BD224" s="33" t="s">
        <v>103</v>
      </c>
      <c r="BE224" s="271" t="s">
        <v>104</v>
      </c>
      <c r="BF224" s="271" t="s">
        <v>105</v>
      </c>
      <c r="BG224" s="269">
        <v>0</v>
      </c>
      <c r="BH224" s="42">
        <v>24000</v>
      </c>
      <c r="BI224" s="47" t="s">
        <v>100</v>
      </c>
      <c r="BJ224" s="32" t="s">
        <v>309</v>
      </c>
      <c r="BK224" s="32">
        <v>500</v>
      </c>
      <c r="BL224" s="26" t="s">
        <v>106</v>
      </c>
      <c r="BM224" s="26" t="s">
        <v>107</v>
      </c>
      <c r="BN224" s="209">
        <v>0</v>
      </c>
      <c r="BO224" s="26" t="s">
        <v>108</v>
      </c>
      <c r="BP224" s="34" t="s">
        <v>109</v>
      </c>
      <c r="BQ224" s="209">
        <v>4000</v>
      </c>
      <c r="BR224" s="26" t="s">
        <v>108</v>
      </c>
      <c r="BS224" s="34" t="s">
        <v>110</v>
      </c>
      <c r="BT224" s="209">
        <v>5500</v>
      </c>
      <c r="BU224" s="211">
        <v>11000</v>
      </c>
      <c r="BV224" s="212" t="s">
        <v>100</v>
      </c>
      <c r="BW224" s="212" t="s">
        <v>286</v>
      </c>
      <c r="BX224" s="213" t="s">
        <v>100</v>
      </c>
      <c r="BY224" s="213" t="s">
        <v>100</v>
      </c>
      <c r="BZ224" s="45">
        <v>2000</v>
      </c>
    </row>
    <row r="225" spans="3:78" ht="26.25" customHeight="1">
      <c r="C225" s="1"/>
      <c r="D225" s="296"/>
      <c r="E225" s="310"/>
      <c r="F225" s="308"/>
      <c r="G225" s="74">
        <v>500</v>
      </c>
      <c r="H225" s="62">
        <v>400</v>
      </c>
      <c r="I225" s="62">
        <v>6000</v>
      </c>
      <c r="J225" s="62">
        <v>6000</v>
      </c>
      <c r="K225" s="62">
        <v>50</v>
      </c>
      <c r="L225" s="62">
        <v>50</v>
      </c>
      <c r="M225" s="101" t="s">
        <v>230</v>
      </c>
      <c r="N225" s="63">
        <f t="shared" si="0"/>
        <v>156102.72</v>
      </c>
      <c r="O225" s="62" t="s">
        <v>89</v>
      </c>
      <c r="P225" s="62">
        <v>5</v>
      </c>
      <c r="Q225" s="64" t="s">
        <v>198</v>
      </c>
      <c r="R225" s="64" t="s">
        <v>91</v>
      </c>
      <c r="S225" s="64" t="s">
        <v>199</v>
      </c>
      <c r="T225" s="65" t="s">
        <v>92</v>
      </c>
      <c r="U225" s="65" t="s">
        <v>93</v>
      </c>
      <c r="V225" s="62" t="s">
        <v>99</v>
      </c>
      <c r="W225" s="62">
        <v>31</v>
      </c>
      <c r="X225" s="66" t="s">
        <v>95</v>
      </c>
      <c r="Y225" s="66" t="s">
        <v>96</v>
      </c>
      <c r="Z225" s="102">
        <v>8000</v>
      </c>
      <c r="AA225" s="101" t="s">
        <v>209</v>
      </c>
      <c r="AB225" s="102">
        <v>2900</v>
      </c>
      <c r="AC225" s="62" t="s">
        <v>97</v>
      </c>
      <c r="AD225" s="75" t="s">
        <v>97</v>
      </c>
      <c r="AE225" s="35"/>
      <c r="AF225" s="37">
        <f t="shared" si="1"/>
        <v>146736.95999999999</v>
      </c>
      <c r="AG225" s="29" t="s">
        <v>98</v>
      </c>
      <c r="AH225" s="226">
        <v>15448</v>
      </c>
      <c r="AI225" s="48" t="s">
        <v>230</v>
      </c>
      <c r="AJ225" s="39">
        <v>8000</v>
      </c>
      <c r="AK225" s="39" t="s">
        <v>209</v>
      </c>
      <c r="AL225" s="30">
        <v>2900</v>
      </c>
      <c r="AM225" s="205" t="s">
        <v>99</v>
      </c>
      <c r="AN225" s="40">
        <v>53200</v>
      </c>
      <c r="AO225" s="41" t="s">
        <v>333</v>
      </c>
      <c r="AP225" s="41" t="s">
        <v>334</v>
      </c>
      <c r="AQ225" s="27">
        <v>3000</v>
      </c>
      <c r="AR225" s="27" t="s">
        <v>94</v>
      </c>
      <c r="AS225" s="27">
        <v>900</v>
      </c>
      <c r="AT225" s="29">
        <v>41</v>
      </c>
      <c r="AU225" s="29" t="s">
        <v>100</v>
      </c>
      <c r="AV225" s="31">
        <v>42</v>
      </c>
      <c r="AW225" s="31" t="s">
        <v>100</v>
      </c>
      <c r="AX225" s="209"/>
      <c r="AY225" s="285"/>
      <c r="AZ225" s="285"/>
      <c r="BA225" s="286"/>
      <c r="BB225" s="286"/>
      <c r="BC225" s="44" t="s">
        <v>204</v>
      </c>
      <c r="BD225" s="33" t="s">
        <v>103</v>
      </c>
      <c r="BE225" s="271" t="s">
        <v>104</v>
      </c>
      <c r="BF225" s="271" t="s">
        <v>105</v>
      </c>
      <c r="BG225" s="269">
        <v>0</v>
      </c>
      <c r="BH225" s="42">
        <v>24000</v>
      </c>
      <c r="BI225" s="47" t="s">
        <v>100</v>
      </c>
      <c r="BJ225" s="32" t="s">
        <v>309</v>
      </c>
      <c r="BK225" s="32">
        <v>500</v>
      </c>
      <c r="BL225" s="26" t="s">
        <v>106</v>
      </c>
      <c r="BM225" s="26" t="s">
        <v>107</v>
      </c>
      <c r="BN225" s="209">
        <v>0</v>
      </c>
      <c r="BO225" s="26" t="s">
        <v>108</v>
      </c>
      <c r="BP225" s="34" t="s">
        <v>109</v>
      </c>
      <c r="BQ225" s="209">
        <v>4000</v>
      </c>
      <c r="BR225" s="26" t="s">
        <v>108</v>
      </c>
      <c r="BS225" s="34" t="s">
        <v>110</v>
      </c>
      <c r="BT225" s="209">
        <v>5500</v>
      </c>
      <c r="BU225" s="211">
        <v>11000</v>
      </c>
      <c r="BV225" s="212" t="s">
        <v>100</v>
      </c>
      <c r="BW225" s="212" t="s">
        <v>286</v>
      </c>
      <c r="BX225" s="213" t="s">
        <v>100</v>
      </c>
      <c r="BY225" s="213" t="s">
        <v>100</v>
      </c>
      <c r="BZ225" s="45">
        <v>2000</v>
      </c>
    </row>
    <row r="226" spans="3:78" ht="25.5" customHeight="1">
      <c r="C226" s="1"/>
      <c r="D226" s="296"/>
      <c r="E226" s="310"/>
      <c r="F226" s="308"/>
      <c r="G226" s="74">
        <v>535</v>
      </c>
      <c r="H226" s="62">
        <v>425</v>
      </c>
      <c r="I226" s="62">
        <v>6000</v>
      </c>
      <c r="J226" s="62">
        <v>6000</v>
      </c>
      <c r="K226" s="62">
        <v>50</v>
      </c>
      <c r="L226" s="62">
        <v>53</v>
      </c>
      <c r="M226" s="101" t="s">
        <v>230</v>
      </c>
      <c r="N226" s="63">
        <f t="shared" si="0"/>
        <v>156742.07999999999</v>
      </c>
      <c r="O226" s="62" t="s">
        <v>89</v>
      </c>
      <c r="P226" s="62">
        <v>5</v>
      </c>
      <c r="Q226" s="64" t="s">
        <v>198</v>
      </c>
      <c r="R226" s="64" t="s">
        <v>91</v>
      </c>
      <c r="S226" s="64" t="s">
        <v>199</v>
      </c>
      <c r="T226" s="65" t="s">
        <v>92</v>
      </c>
      <c r="U226" s="65" t="s">
        <v>93</v>
      </c>
      <c r="V226" s="62" t="s">
        <v>99</v>
      </c>
      <c r="W226" s="62">
        <v>31</v>
      </c>
      <c r="X226" s="66" t="s">
        <v>95</v>
      </c>
      <c r="Y226" s="66" t="s">
        <v>96</v>
      </c>
      <c r="Z226" s="102">
        <v>8000</v>
      </c>
      <c r="AA226" s="101" t="s">
        <v>209</v>
      </c>
      <c r="AB226" s="102">
        <v>2900</v>
      </c>
      <c r="AC226" s="62" t="s">
        <v>97</v>
      </c>
      <c r="AD226" s="75" t="s">
        <v>97</v>
      </c>
      <c r="AE226" s="35"/>
      <c r="AF226" s="37">
        <f t="shared" si="1"/>
        <v>147337.91999999998</v>
      </c>
      <c r="AG226" s="29" t="s">
        <v>98</v>
      </c>
      <c r="AH226" s="226">
        <v>15511</v>
      </c>
      <c r="AI226" s="48" t="s">
        <v>230</v>
      </c>
      <c r="AJ226" s="39">
        <v>8000</v>
      </c>
      <c r="AK226" s="39" t="s">
        <v>209</v>
      </c>
      <c r="AL226" s="30">
        <v>2900</v>
      </c>
      <c r="AM226" s="205" t="s">
        <v>99</v>
      </c>
      <c r="AN226" s="40">
        <v>53200</v>
      </c>
      <c r="AO226" s="41" t="s">
        <v>333</v>
      </c>
      <c r="AP226" s="41" t="s">
        <v>334</v>
      </c>
      <c r="AQ226" s="27">
        <v>3000</v>
      </c>
      <c r="AR226" s="27" t="s">
        <v>94</v>
      </c>
      <c r="AS226" s="27">
        <v>900</v>
      </c>
      <c r="AT226" s="29">
        <v>41</v>
      </c>
      <c r="AU226" s="29" t="s">
        <v>100</v>
      </c>
      <c r="AV226" s="31">
        <v>42</v>
      </c>
      <c r="AW226" s="31" t="s">
        <v>100</v>
      </c>
      <c r="AX226" s="209"/>
      <c r="AY226" s="285"/>
      <c r="AZ226" s="285"/>
      <c r="BA226" s="286"/>
      <c r="BB226" s="286"/>
      <c r="BC226" s="44" t="s">
        <v>204</v>
      </c>
      <c r="BD226" s="33" t="s">
        <v>103</v>
      </c>
      <c r="BE226" s="271" t="s">
        <v>104</v>
      </c>
      <c r="BF226" s="271" t="s">
        <v>105</v>
      </c>
      <c r="BG226" s="269">
        <v>0</v>
      </c>
      <c r="BH226" s="42">
        <v>24000</v>
      </c>
      <c r="BI226" s="47" t="s">
        <v>100</v>
      </c>
      <c r="BJ226" s="32" t="s">
        <v>309</v>
      </c>
      <c r="BK226" s="32">
        <v>500</v>
      </c>
      <c r="BL226" s="26" t="s">
        <v>106</v>
      </c>
      <c r="BM226" s="26" t="s">
        <v>107</v>
      </c>
      <c r="BN226" s="209">
        <v>0</v>
      </c>
      <c r="BO226" s="26" t="s">
        <v>108</v>
      </c>
      <c r="BP226" s="34" t="s">
        <v>109</v>
      </c>
      <c r="BQ226" s="209">
        <v>4000</v>
      </c>
      <c r="BR226" s="26" t="s">
        <v>108</v>
      </c>
      <c r="BS226" s="34" t="s">
        <v>110</v>
      </c>
      <c r="BT226" s="209">
        <v>5500</v>
      </c>
      <c r="BU226" s="211">
        <v>11000</v>
      </c>
      <c r="BV226" s="212" t="s">
        <v>100</v>
      </c>
      <c r="BW226" s="212" t="s">
        <v>286</v>
      </c>
      <c r="BX226" s="213" t="s">
        <v>100</v>
      </c>
      <c r="BY226" s="213" t="s">
        <v>100</v>
      </c>
      <c r="BZ226" s="45">
        <v>2000</v>
      </c>
    </row>
    <row r="227" spans="3:78" ht="26.25" customHeight="1">
      <c r="C227" s="1"/>
      <c r="D227" s="296"/>
      <c r="E227" s="310"/>
      <c r="F227" s="308"/>
      <c r="G227" s="74">
        <v>565</v>
      </c>
      <c r="H227" s="62">
        <v>450</v>
      </c>
      <c r="I227" s="62">
        <v>6000</v>
      </c>
      <c r="J227" s="62">
        <v>6000</v>
      </c>
      <c r="K227" s="62">
        <v>50</v>
      </c>
      <c r="L227" s="62">
        <v>56</v>
      </c>
      <c r="M227" s="101" t="s">
        <v>230</v>
      </c>
      <c r="N227" s="63">
        <f t="shared" si="0"/>
        <v>157001.28</v>
      </c>
      <c r="O227" s="62" t="s">
        <v>89</v>
      </c>
      <c r="P227" s="62">
        <v>5</v>
      </c>
      <c r="Q227" s="64" t="s">
        <v>198</v>
      </c>
      <c r="R227" s="64" t="s">
        <v>91</v>
      </c>
      <c r="S227" s="64" t="s">
        <v>199</v>
      </c>
      <c r="T227" s="65" t="s">
        <v>92</v>
      </c>
      <c r="U227" s="65" t="s">
        <v>93</v>
      </c>
      <c r="V227" s="62" t="s">
        <v>99</v>
      </c>
      <c r="W227" s="62">
        <v>31</v>
      </c>
      <c r="X227" s="66" t="s">
        <v>95</v>
      </c>
      <c r="Y227" s="66" t="s">
        <v>96</v>
      </c>
      <c r="Z227" s="102">
        <v>8000</v>
      </c>
      <c r="AA227" s="101" t="s">
        <v>209</v>
      </c>
      <c r="AB227" s="102">
        <v>2900</v>
      </c>
      <c r="AC227" s="62" t="s">
        <v>97</v>
      </c>
      <c r="AD227" s="75" t="s">
        <v>97</v>
      </c>
      <c r="AE227" s="35"/>
      <c r="AF227" s="37">
        <f t="shared" si="1"/>
        <v>147580.79999999999</v>
      </c>
      <c r="AG227" s="29" t="s">
        <v>98</v>
      </c>
      <c r="AH227" s="226">
        <v>15537</v>
      </c>
      <c r="AI227" s="48" t="s">
        <v>230</v>
      </c>
      <c r="AJ227" s="39">
        <v>8000</v>
      </c>
      <c r="AK227" s="39" t="s">
        <v>209</v>
      </c>
      <c r="AL227" s="30">
        <v>2900</v>
      </c>
      <c r="AM227" s="205" t="s">
        <v>99</v>
      </c>
      <c r="AN227" s="40">
        <v>53200</v>
      </c>
      <c r="AO227" s="41" t="s">
        <v>333</v>
      </c>
      <c r="AP227" s="41" t="s">
        <v>334</v>
      </c>
      <c r="AQ227" s="27">
        <v>3000</v>
      </c>
      <c r="AR227" s="27" t="s">
        <v>94</v>
      </c>
      <c r="AS227" s="27">
        <v>900</v>
      </c>
      <c r="AT227" s="29">
        <v>41</v>
      </c>
      <c r="AU227" s="29" t="s">
        <v>100</v>
      </c>
      <c r="AV227" s="31">
        <v>42</v>
      </c>
      <c r="AW227" s="31" t="s">
        <v>100</v>
      </c>
      <c r="AX227" s="209"/>
      <c r="AY227" s="285"/>
      <c r="AZ227" s="285"/>
      <c r="BA227" s="286"/>
      <c r="BB227" s="286"/>
      <c r="BC227" s="44" t="s">
        <v>204</v>
      </c>
      <c r="BD227" s="33" t="s">
        <v>103</v>
      </c>
      <c r="BE227" s="271" t="s">
        <v>104</v>
      </c>
      <c r="BF227" s="271" t="s">
        <v>105</v>
      </c>
      <c r="BG227" s="269">
        <v>0</v>
      </c>
      <c r="BH227" s="42">
        <v>24000</v>
      </c>
      <c r="BI227" s="47" t="s">
        <v>100</v>
      </c>
      <c r="BJ227" s="32" t="s">
        <v>309</v>
      </c>
      <c r="BK227" s="32">
        <v>500</v>
      </c>
      <c r="BL227" s="26" t="s">
        <v>106</v>
      </c>
      <c r="BM227" s="26" t="s">
        <v>107</v>
      </c>
      <c r="BN227" s="209">
        <v>0</v>
      </c>
      <c r="BO227" s="26" t="s">
        <v>108</v>
      </c>
      <c r="BP227" s="34" t="s">
        <v>109</v>
      </c>
      <c r="BQ227" s="209">
        <v>4000</v>
      </c>
      <c r="BR227" s="26" t="s">
        <v>108</v>
      </c>
      <c r="BS227" s="34" t="s">
        <v>110</v>
      </c>
      <c r="BT227" s="209">
        <v>5500</v>
      </c>
      <c r="BU227" s="211">
        <v>11000</v>
      </c>
      <c r="BV227" s="212" t="s">
        <v>100</v>
      </c>
      <c r="BW227" s="212" t="s">
        <v>286</v>
      </c>
      <c r="BX227" s="213" t="s">
        <v>100</v>
      </c>
      <c r="BY227" s="213" t="s">
        <v>100</v>
      </c>
      <c r="BZ227" s="45">
        <v>2000</v>
      </c>
    </row>
    <row r="228" spans="3:78" ht="25.5">
      <c r="C228" s="1"/>
      <c r="D228" s="296"/>
      <c r="E228" s="310"/>
      <c r="F228" s="308"/>
      <c r="G228" s="74">
        <v>625</v>
      </c>
      <c r="H228" s="62">
        <v>500</v>
      </c>
      <c r="I228" s="62">
        <v>6000</v>
      </c>
      <c r="J228" s="62">
        <v>6000</v>
      </c>
      <c r="K228" s="62">
        <v>50</v>
      </c>
      <c r="L228" s="62">
        <v>63</v>
      </c>
      <c r="M228" s="101" t="s">
        <v>230</v>
      </c>
      <c r="N228" s="63">
        <f t="shared" si="0"/>
        <v>158715.84</v>
      </c>
      <c r="O228" s="62" t="s">
        <v>89</v>
      </c>
      <c r="P228" s="62">
        <v>5</v>
      </c>
      <c r="Q228" s="64" t="s">
        <v>198</v>
      </c>
      <c r="R228" s="64" t="s">
        <v>91</v>
      </c>
      <c r="S228" s="64" t="s">
        <v>199</v>
      </c>
      <c r="T228" s="65" t="s">
        <v>92</v>
      </c>
      <c r="U228" s="65" t="s">
        <v>93</v>
      </c>
      <c r="V228" s="62" t="s">
        <v>99</v>
      </c>
      <c r="W228" s="62">
        <v>31</v>
      </c>
      <c r="X228" s="66" t="s">
        <v>95</v>
      </c>
      <c r="Y228" s="66" t="s">
        <v>96</v>
      </c>
      <c r="Z228" s="102">
        <v>8000</v>
      </c>
      <c r="AA228" s="101" t="s">
        <v>209</v>
      </c>
      <c r="AB228" s="102">
        <v>2900</v>
      </c>
      <c r="AC228" s="62" t="s">
        <v>97</v>
      </c>
      <c r="AD228" s="75" t="s">
        <v>97</v>
      </c>
      <c r="AE228" s="35"/>
      <c r="AF228" s="37">
        <f t="shared" si="1"/>
        <v>149192.63999999998</v>
      </c>
      <c r="AG228" s="29" t="s">
        <v>98</v>
      </c>
      <c r="AH228" s="226">
        <v>15706</v>
      </c>
      <c r="AI228" s="48" t="s">
        <v>230</v>
      </c>
      <c r="AJ228" s="39">
        <v>8000</v>
      </c>
      <c r="AK228" s="39" t="s">
        <v>209</v>
      </c>
      <c r="AL228" s="30">
        <v>2900</v>
      </c>
      <c r="AM228" s="205" t="s">
        <v>99</v>
      </c>
      <c r="AN228" s="40">
        <v>53200</v>
      </c>
      <c r="AO228" s="41" t="s">
        <v>333</v>
      </c>
      <c r="AP228" s="41" t="s">
        <v>334</v>
      </c>
      <c r="AQ228" s="27">
        <v>3000</v>
      </c>
      <c r="AR228" s="27" t="s">
        <v>94</v>
      </c>
      <c r="AS228" s="27">
        <v>900</v>
      </c>
      <c r="AT228" s="29">
        <v>41</v>
      </c>
      <c r="AU228" s="29" t="s">
        <v>100</v>
      </c>
      <c r="AV228" s="31">
        <v>42</v>
      </c>
      <c r="AW228" s="31" t="s">
        <v>100</v>
      </c>
      <c r="AX228" s="209"/>
      <c r="AY228" s="285"/>
      <c r="AZ228" s="285"/>
      <c r="BA228" s="286"/>
      <c r="BB228" s="286"/>
      <c r="BC228" s="44" t="s">
        <v>204</v>
      </c>
      <c r="BD228" s="33" t="s">
        <v>103</v>
      </c>
      <c r="BE228" s="271" t="s">
        <v>104</v>
      </c>
      <c r="BF228" s="271" t="s">
        <v>105</v>
      </c>
      <c r="BG228" s="269">
        <v>0</v>
      </c>
      <c r="BH228" s="42">
        <v>24000</v>
      </c>
      <c r="BI228" s="47" t="s">
        <v>100</v>
      </c>
      <c r="BJ228" s="32" t="s">
        <v>309</v>
      </c>
      <c r="BK228" s="32">
        <v>500</v>
      </c>
      <c r="BL228" s="26" t="s">
        <v>106</v>
      </c>
      <c r="BM228" s="26" t="s">
        <v>107</v>
      </c>
      <c r="BN228" s="209">
        <v>0</v>
      </c>
      <c r="BO228" s="26" t="s">
        <v>108</v>
      </c>
      <c r="BP228" s="34" t="s">
        <v>109</v>
      </c>
      <c r="BQ228" s="209">
        <v>4000</v>
      </c>
      <c r="BR228" s="26" t="s">
        <v>108</v>
      </c>
      <c r="BS228" s="34" t="s">
        <v>110</v>
      </c>
      <c r="BT228" s="209">
        <v>5500</v>
      </c>
      <c r="BU228" s="211">
        <v>11000</v>
      </c>
      <c r="BV228" s="212" t="s">
        <v>100</v>
      </c>
      <c r="BW228" s="212" t="s">
        <v>286</v>
      </c>
      <c r="BX228" s="213" t="s">
        <v>100</v>
      </c>
      <c r="BY228" s="213" t="s">
        <v>100</v>
      </c>
      <c r="BZ228" s="45">
        <v>2000</v>
      </c>
    </row>
    <row r="229" spans="3:78" ht="25.5">
      <c r="C229" s="1"/>
      <c r="D229" s="296"/>
      <c r="E229" s="310"/>
      <c r="F229" s="308"/>
      <c r="G229" s="74">
        <v>665</v>
      </c>
      <c r="H229" s="62">
        <v>530</v>
      </c>
      <c r="I229" s="62">
        <v>6000</v>
      </c>
      <c r="J229" s="62">
        <v>6000</v>
      </c>
      <c r="K229" s="62">
        <v>50</v>
      </c>
      <c r="L229" s="62">
        <v>66</v>
      </c>
      <c r="M229" s="101" t="s">
        <v>230</v>
      </c>
      <c r="N229" s="63">
        <f t="shared" si="0"/>
        <v>167872.32</v>
      </c>
      <c r="O229" s="62" t="s">
        <v>89</v>
      </c>
      <c r="P229" s="62">
        <v>5</v>
      </c>
      <c r="Q229" s="64" t="s">
        <v>198</v>
      </c>
      <c r="R229" s="64" t="s">
        <v>91</v>
      </c>
      <c r="S229" s="64" t="s">
        <v>199</v>
      </c>
      <c r="T229" s="65" t="s">
        <v>92</v>
      </c>
      <c r="U229" s="65" t="s">
        <v>93</v>
      </c>
      <c r="V229" s="62" t="s">
        <v>99</v>
      </c>
      <c r="W229" s="62">
        <v>31</v>
      </c>
      <c r="X229" s="66" t="s">
        <v>95</v>
      </c>
      <c r="Y229" s="66" t="s">
        <v>96</v>
      </c>
      <c r="Z229" s="102">
        <v>8000</v>
      </c>
      <c r="AA229" s="101" t="s">
        <v>209</v>
      </c>
      <c r="AB229" s="102">
        <v>2900</v>
      </c>
      <c r="AC229" s="62" t="s">
        <v>97</v>
      </c>
      <c r="AD229" s="75" t="s">
        <v>97</v>
      </c>
      <c r="AE229" s="35"/>
      <c r="AF229" s="37">
        <f t="shared" si="1"/>
        <v>157800</v>
      </c>
      <c r="AG229" s="29" t="s">
        <v>98</v>
      </c>
      <c r="AH229" s="226">
        <v>16612</v>
      </c>
      <c r="AI229" s="48" t="s">
        <v>230</v>
      </c>
      <c r="AJ229" s="39">
        <v>8000</v>
      </c>
      <c r="AK229" s="39" t="s">
        <v>209</v>
      </c>
      <c r="AL229" s="30">
        <v>2900</v>
      </c>
      <c r="AM229" s="205" t="s">
        <v>99</v>
      </c>
      <c r="AN229" s="40">
        <v>53200</v>
      </c>
      <c r="AO229" s="41" t="s">
        <v>333</v>
      </c>
      <c r="AP229" s="41" t="s">
        <v>334</v>
      </c>
      <c r="AQ229" s="27">
        <v>3000</v>
      </c>
      <c r="AR229" s="27" t="s">
        <v>94</v>
      </c>
      <c r="AS229" s="27">
        <v>900</v>
      </c>
      <c r="AT229" s="29">
        <v>41</v>
      </c>
      <c r="AU229" s="29" t="s">
        <v>100</v>
      </c>
      <c r="AV229" s="31">
        <v>42</v>
      </c>
      <c r="AW229" s="31" t="s">
        <v>100</v>
      </c>
      <c r="AX229" s="209"/>
      <c r="AY229" s="285"/>
      <c r="AZ229" s="285"/>
      <c r="BA229" s="286"/>
      <c r="BB229" s="286"/>
      <c r="BC229" s="44" t="s">
        <v>204</v>
      </c>
      <c r="BD229" s="33" t="s">
        <v>103</v>
      </c>
      <c r="BE229" s="271" t="s">
        <v>104</v>
      </c>
      <c r="BF229" s="271" t="s">
        <v>105</v>
      </c>
      <c r="BG229" s="269">
        <v>0</v>
      </c>
      <c r="BH229" s="42">
        <v>24000</v>
      </c>
      <c r="BI229" s="47" t="s">
        <v>100</v>
      </c>
      <c r="BJ229" s="32" t="s">
        <v>309</v>
      </c>
      <c r="BK229" s="32">
        <v>500</v>
      </c>
      <c r="BL229" s="26" t="s">
        <v>106</v>
      </c>
      <c r="BM229" s="26" t="s">
        <v>107</v>
      </c>
      <c r="BN229" s="209">
        <v>0</v>
      </c>
      <c r="BO229" s="26" t="s">
        <v>108</v>
      </c>
      <c r="BP229" s="34" t="s">
        <v>109</v>
      </c>
      <c r="BQ229" s="209">
        <v>4000</v>
      </c>
      <c r="BR229" s="26" t="s">
        <v>108</v>
      </c>
      <c r="BS229" s="34" t="s">
        <v>110</v>
      </c>
      <c r="BT229" s="209">
        <v>5500</v>
      </c>
      <c r="BU229" s="211">
        <v>11000</v>
      </c>
      <c r="BV229" s="212" t="s">
        <v>100</v>
      </c>
      <c r="BW229" s="212" t="s">
        <v>286</v>
      </c>
      <c r="BX229" s="213" t="s">
        <v>100</v>
      </c>
      <c r="BY229" s="213" t="s">
        <v>100</v>
      </c>
      <c r="BZ229" s="45">
        <v>2000</v>
      </c>
    </row>
    <row r="230" spans="3:78" ht="26.25" thickBot="1">
      <c r="C230" s="1"/>
      <c r="D230" s="296"/>
      <c r="E230" s="310"/>
      <c r="F230" s="308"/>
      <c r="G230" s="76">
        <v>700</v>
      </c>
      <c r="H230" s="77">
        <v>560</v>
      </c>
      <c r="I230" s="77">
        <v>6000</v>
      </c>
      <c r="J230" s="77">
        <v>6000</v>
      </c>
      <c r="K230" s="77">
        <v>50</v>
      </c>
      <c r="L230" s="77">
        <v>70</v>
      </c>
      <c r="M230" s="136" t="s">
        <v>230</v>
      </c>
      <c r="N230" s="78">
        <f t="shared" si="0"/>
        <v>168401.28</v>
      </c>
      <c r="O230" s="77" t="s">
        <v>89</v>
      </c>
      <c r="P230" s="77">
        <v>5</v>
      </c>
      <c r="Q230" s="79" t="s">
        <v>198</v>
      </c>
      <c r="R230" s="79" t="s">
        <v>91</v>
      </c>
      <c r="S230" s="79" t="s">
        <v>199</v>
      </c>
      <c r="T230" s="80" t="s">
        <v>92</v>
      </c>
      <c r="U230" s="80" t="s">
        <v>93</v>
      </c>
      <c r="V230" s="77" t="s">
        <v>99</v>
      </c>
      <c r="W230" s="77">
        <v>31</v>
      </c>
      <c r="X230" s="81" t="s">
        <v>95</v>
      </c>
      <c r="Y230" s="81" t="s">
        <v>96</v>
      </c>
      <c r="Z230" s="170">
        <v>8000</v>
      </c>
      <c r="AA230" s="136" t="s">
        <v>209</v>
      </c>
      <c r="AB230" s="170">
        <v>2900</v>
      </c>
      <c r="AC230" s="77" t="s">
        <v>97</v>
      </c>
      <c r="AD230" s="82" t="s">
        <v>97</v>
      </c>
      <c r="AE230" s="35"/>
      <c r="AF230" s="37">
        <f t="shared" si="1"/>
        <v>158297.28</v>
      </c>
      <c r="AG230" s="29" t="s">
        <v>98</v>
      </c>
      <c r="AH230" s="218">
        <v>16665</v>
      </c>
      <c r="AI230" s="219" t="s">
        <v>230</v>
      </c>
      <c r="AJ230" s="220">
        <v>8000</v>
      </c>
      <c r="AK230" s="220" t="s">
        <v>209</v>
      </c>
      <c r="AL230" s="221">
        <v>2900</v>
      </c>
      <c r="AM230" s="283" t="s">
        <v>99</v>
      </c>
      <c r="AN230" s="40">
        <v>53200</v>
      </c>
      <c r="AO230" s="41" t="s">
        <v>333</v>
      </c>
      <c r="AP230" s="41" t="s">
        <v>334</v>
      </c>
      <c r="AQ230" s="27">
        <v>3000</v>
      </c>
      <c r="AR230" s="27" t="s">
        <v>94</v>
      </c>
      <c r="AS230" s="27">
        <v>900</v>
      </c>
      <c r="AT230" s="29">
        <v>41</v>
      </c>
      <c r="AU230" s="29" t="s">
        <v>100</v>
      </c>
      <c r="AV230" s="31">
        <v>42</v>
      </c>
      <c r="AW230" s="31" t="s">
        <v>100</v>
      </c>
      <c r="AX230" s="209"/>
      <c r="AY230" s="285"/>
      <c r="AZ230" s="285"/>
      <c r="BA230" s="286"/>
      <c r="BB230" s="286"/>
      <c r="BC230" s="44" t="s">
        <v>204</v>
      </c>
      <c r="BD230" s="33" t="s">
        <v>103</v>
      </c>
      <c r="BE230" s="271" t="s">
        <v>104</v>
      </c>
      <c r="BF230" s="271" t="s">
        <v>105</v>
      </c>
      <c r="BG230" s="269">
        <v>0</v>
      </c>
      <c r="BH230" s="42">
        <v>24000</v>
      </c>
      <c r="BI230" s="47" t="s">
        <v>100</v>
      </c>
      <c r="BJ230" s="32" t="s">
        <v>309</v>
      </c>
      <c r="BK230" s="32">
        <v>500</v>
      </c>
      <c r="BL230" s="26" t="s">
        <v>106</v>
      </c>
      <c r="BM230" s="26" t="s">
        <v>107</v>
      </c>
      <c r="BN230" s="209">
        <v>0</v>
      </c>
      <c r="BO230" s="26" t="s">
        <v>108</v>
      </c>
      <c r="BP230" s="34" t="s">
        <v>109</v>
      </c>
      <c r="BQ230" s="209">
        <v>4000</v>
      </c>
      <c r="BR230" s="26" t="s">
        <v>108</v>
      </c>
      <c r="BS230" s="34" t="s">
        <v>110</v>
      </c>
      <c r="BT230" s="209">
        <v>5500</v>
      </c>
      <c r="BU230" s="211">
        <v>11000</v>
      </c>
      <c r="BV230" s="212" t="s">
        <v>100</v>
      </c>
      <c r="BW230" s="212" t="s">
        <v>286</v>
      </c>
      <c r="BX230" s="213" t="s">
        <v>100</v>
      </c>
      <c r="BY230" s="213" t="s">
        <v>100</v>
      </c>
      <c r="BZ230" s="45">
        <v>2000</v>
      </c>
    </row>
    <row r="231" spans="3:78" ht="25.5">
      <c r="C231" s="1"/>
      <c r="D231" s="296"/>
      <c r="E231" s="310"/>
      <c r="F231" s="308"/>
      <c r="G231" s="67">
        <v>750</v>
      </c>
      <c r="H231" s="68">
        <v>600</v>
      </c>
      <c r="I231" s="68">
        <v>6000</v>
      </c>
      <c r="J231" s="68">
        <v>6000</v>
      </c>
      <c r="K231" s="68">
        <v>50</v>
      </c>
      <c r="L231" s="68">
        <v>75</v>
      </c>
      <c r="M231" s="83" t="s">
        <v>231</v>
      </c>
      <c r="N231" s="69">
        <f t="shared" si="0"/>
        <v>172791.36</v>
      </c>
      <c r="O231" s="68" t="s">
        <v>89</v>
      </c>
      <c r="P231" s="68">
        <v>5</v>
      </c>
      <c r="Q231" s="70" t="s">
        <v>198</v>
      </c>
      <c r="R231" s="70" t="s">
        <v>91</v>
      </c>
      <c r="S231" s="70" t="s">
        <v>199</v>
      </c>
      <c r="T231" s="71" t="s">
        <v>92</v>
      </c>
      <c r="U231" s="71" t="s">
        <v>93</v>
      </c>
      <c r="V231" s="68" t="s">
        <v>99</v>
      </c>
      <c r="W231" s="68">
        <v>31</v>
      </c>
      <c r="X231" s="72" t="s">
        <v>95</v>
      </c>
      <c r="Y231" s="72" t="s">
        <v>96</v>
      </c>
      <c r="Z231" s="86">
        <v>12000</v>
      </c>
      <c r="AA231" s="83" t="s">
        <v>202</v>
      </c>
      <c r="AB231" s="86">
        <v>3900</v>
      </c>
      <c r="AC231" s="68" t="s">
        <v>97</v>
      </c>
      <c r="AD231" s="73" t="s">
        <v>97</v>
      </c>
      <c r="AE231" s="35"/>
      <c r="AF231" s="37">
        <f t="shared" si="1"/>
        <v>162424.32000000001</v>
      </c>
      <c r="AG231" s="29" t="s">
        <v>98</v>
      </c>
      <c r="AH231" s="222">
        <v>17099</v>
      </c>
      <c r="AI231" s="223" t="s">
        <v>231</v>
      </c>
      <c r="AJ231" s="224">
        <v>12000</v>
      </c>
      <c r="AK231" s="224" t="s">
        <v>202</v>
      </c>
      <c r="AL231" s="225">
        <v>3900</v>
      </c>
      <c r="AM231" s="284" t="s">
        <v>99</v>
      </c>
      <c r="AN231" s="40">
        <v>53200</v>
      </c>
      <c r="AO231" s="41" t="s">
        <v>333</v>
      </c>
      <c r="AP231" s="41" t="s">
        <v>334</v>
      </c>
      <c r="AQ231" s="27">
        <v>3000</v>
      </c>
      <c r="AR231" s="27" t="s">
        <v>94</v>
      </c>
      <c r="AS231" s="27">
        <v>900</v>
      </c>
      <c r="AT231" s="29">
        <v>41</v>
      </c>
      <c r="AU231" s="29" t="s">
        <v>100</v>
      </c>
      <c r="AV231" s="31">
        <v>42</v>
      </c>
      <c r="AW231" s="31" t="s">
        <v>100</v>
      </c>
      <c r="AX231" s="209"/>
      <c r="AY231" s="285"/>
      <c r="AZ231" s="285"/>
      <c r="BA231" s="286"/>
      <c r="BB231" s="286"/>
      <c r="BC231" s="44" t="s">
        <v>204</v>
      </c>
      <c r="BD231" s="33" t="s">
        <v>103</v>
      </c>
      <c r="BE231" s="271" t="s">
        <v>104</v>
      </c>
      <c r="BF231" s="271" t="s">
        <v>105</v>
      </c>
      <c r="BG231" s="269">
        <v>0</v>
      </c>
      <c r="BH231" s="42">
        <v>24000</v>
      </c>
      <c r="BI231" s="47" t="s">
        <v>100</v>
      </c>
      <c r="BJ231" s="32" t="s">
        <v>101</v>
      </c>
      <c r="BK231" s="32" t="s">
        <v>100</v>
      </c>
      <c r="BL231" s="26" t="s">
        <v>106</v>
      </c>
      <c r="BM231" s="26" t="s">
        <v>107</v>
      </c>
      <c r="BN231" s="209">
        <v>0</v>
      </c>
      <c r="BO231" s="26" t="s">
        <v>108</v>
      </c>
      <c r="BP231" s="34" t="s">
        <v>109</v>
      </c>
      <c r="BQ231" s="209">
        <v>4000</v>
      </c>
      <c r="BR231" s="26" t="s">
        <v>108</v>
      </c>
      <c r="BS231" s="34" t="s">
        <v>110</v>
      </c>
      <c r="BT231" s="209">
        <v>5500</v>
      </c>
      <c r="BU231" s="211">
        <v>11000</v>
      </c>
      <c r="BV231" s="212" t="s">
        <v>100</v>
      </c>
      <c r="BW231" s="212" t="s">
        <v>286</v>
      </c>
      <c r="BX231" s="213" t="s">
        <v>100</v>
      </c>
      <c r="BY231" s="213" t="s">
        <v>100</v>
      </c>
      <c r="BZ231" s="45">
        <v>2000</v>
      </c>
    </row>
    <row r="232" spans="3:78" ht="25.5">
      <c r="C232" s="1"/>
      <c r="D232" s="296"/>
      <c r="E232" s="310"/>
      <c r="F232" s="308"/>
      <c r="G232" s="74">
        <v>840</v>
      </c>
      <c r="H232" s="62">
        <v>670</v>
      </c>
      <c r="I232" s="62">
        <v>6000</v>
      </c>
      <c r="J232" s="62">
        <v>6000</v>
      </c>
      <c r="K232" s="62">
        <v>50</v>
      </c>
      <c r="L232" s="62">
        <v>84</v>
      </c>
      <c r="M232" s="84" t="s">
        <v>231</v>
      </c>
      <c r="N232" s="63">
        <f t="shared" si="0"/>
        <v>177710.4</v>
      </c>
      <c r="O232" s="62" t="s">
        <v>89</v>
      </c>
      <c r="P232" s="62">
        <v>5</v>
      </c>
      <c r="Q232" s="64" t="s">
        <v>198</v>
      </c>
      <c r="R232" s="64" t="s">
        <v>91</v>
      </c>
      <c r="S232" s="64" t="s">
        <v>199</v>
      </c>
      <c r="T232" s="65" t="s">
        <v>92</v>
      </c>
      <c r="U232" s="65" t="s">
        <v>93</v>
      </c>
      <c r="V232" s="62" t="s">
        <v>99</v>
      </c>
      <c r="W232" s="62">
        <v>31</v>
      </c>
      <c r="X232" s="66" t="s">
        <v>95</v>
      </c>
      <c r="Y232" s="66" t="s">
        <v>96</v>
      </c>
      <c r="Z232" s="87">
        <v>12000</v>
      </c>
      <c r="AA232" s="84" t="s">
        <v>202</v>
      </c>
      <c r="AB232" s="87">
        <v>3900</v>
      </c>
      <c r="AC232" s="62" t="s">
        <v>97</v>
      </c>
      <c r="AD232" s="75" t="s">
        <v>97</v>
      </c>
      <c r="AE232" s="35"/>
      <c r="AF232" s="37">
        <f t="shared" si="1"/>
        <v>167047.67999999999</v>
      </c>
      <c r="AG232" s="29" t="s">
        <v>98</v>
      </c>
      <c r="AH232" s="226">
        <v>17586</v>
      </c>
      <c r="AI232" s="48" t="s">
        <v>231</v>
      </c>
      <c r="AJ232" s="39">
        <v>12000</v>
      </c>
      <c r="AK232" s="39" t="s">
        <v>202</v>
      </c>
      <c r="AL232" s="30">
        <v>3900</v>
      </c>
      <c r="AM232" s="205" t="s">
        <v>99</v>
      </c>
      <c r="AN232" s="40">
        <v>53200</v>
      </c>
      <c r="AO232" s="41" t="s">
        <v>333</v>
      </c>
      <c r="AP232" s="41" t="s">
        <v>334</v>
      </c>
      <c r="AQ232" s="27">
        <v>3000</v>
      </c>
      <c r="AR232" s="27" t="s">
        <v>94</v>
      </c>
      <c r="AS232" s="27">
        <v>900</v>
      </c>
      <c r="AT232" s="29">
        <v>41</v>
      </c>
      <c r="AU232" s="29" t="s">
        <v>100</v>
      </c>
      <c r="AV232" s="31">
        <v>42</v>
      </c>
      <c r="AW232" s="31" t="s">
        <v>100</v>
      </c>
      <c r="AX232" s="209"/>
      <c r="AY232" s="285"/>
      <c r="AZ232" s="285"/>
      <c r="BA232" s="286"/>
      <c r="BB232" s="286"/>
      <c r="BC232" s="44" t="s">
        <v>204</v>
      </c>
      <c r="BD232" s="33" t="s">
        <v>103</v>
      </c>
      <c r="BE232" s="271" t="s">
        <v>104</v>
      </c>
      <c r="BF232" s="271" t="s">
        <v>105</v>
      </c>
      <c r="BG232" s="269">
        <v>0</v>
      </c>
      <c r="BH232" s="42">
        <v>24000</v>
      </c>
      <c r="BI232" s="47" t="s">
        <v>100</v>
      </c>
      <c r="BJ232" s="32" t="s">
        <v>101</v>
      </c>
      <c r="BK232" s="32" t="s">
        <v>100</v>
      </c>
      <c r="BL232" s="26" t="s">
        <v>106</v>
      </c>
      <c r="BM232" s="26" t="s">
        <v>107</v>
      </c>
      <c r="BN232" s="209">
        <v>0</v>
      </c>
      <c r="BO232" s="26" t="s">
        <v>108</v>
      </c>
      <c r="BP232" s="34" t="s">
        <v>109</v>
      </c>
      <c r="BQ232" s="209">
        <v>4000</v>
      </c>
      <c r="BR232" s="26" t="s">
        <v>108</v>
      </c>
      <c r="BS232" s="34" t="s">
        <v>110</v>
      </c>
      <c r="BT232" s="209">
        <v>5500</v>
      </c>
      <c r="BU232" s="211">
        <v>11000</v>
      </c>
      <c r="BV232" s="212" t="s">
        <v>100</v>
      </c>
      <c r="BW232" s="212" t="s">
        <v>286</v>
      </c>
      <c r="BX232" s="213" t="s">
        <v>100</v>
      </c>
      <c r="BY232" s="213" t="s">
        <v>100</v>
      </c>
      <c r="BZ232" s="45">
        <v>2000</v>
      </c>
    </row>
    <row r="233" spans="3:78" ht="25.5">
      <c r="C233" s="1"/>
      <c r="D233" s="296"/>
      <c r="E233" s="310"/>
      <c r="F233" s="308"/>
      <c r="G233" s="74">
        <v>890</v>
      </c>
      <c r="H233" s="62">
        <v>710</v>
      </c>
      <c r="I233" s="62">
        <v>6000</v>
      </c>
      <c r="J233" s="62">
        <v>6000</v>
      </c>
      <c r="K233" s="62">
        <v>50</v>
      </c>
      <c r="L233" s="62">
        <v>88</v>
      </c>
      <c r="M233" s="84" t="s">
        <v>231</v>
      </c>
      <c r="N233" s="63">
        <f t="shared" si="0"/>
        <v>178652.16</v>
      </c>
      <c r="O233" s="62" t="s">
        <v>89</v>
      </c>
      <c r="P233" s="62">
        <v>5</v>
      </c>
      <c r="Q233" s="64" t="s">
        <v>198</v>
      </c>
      <c r="R233" s="64" t="s">
        <v>91</v>
      </c>
      <c r="S233" s="64" t="s">
        <v>199</v>
      </c>
      <c r="T233" s="65" t="s">
        <v>92</v>
      </c>
      <c r="U233" s="65" t="s">
        <v>93</v>
      </c>
      <c r="V233" s="62" t="s">
        <v>99</v>
      </c>
      <c r="W233" s="62">
        <v>31</v>
      </c>
      <c r="X233" s="66" t="s">
        <v>95</v>
      </c>
      <c r="Y233" s="66" t="s">
        <v>96</v>
      </c>
      <c r="Z233" s="87">
        <v>12000</v>
      </c>
      <c r="AA233" s="84" t="s">
        <v>202</v>
      </c>
      <c r="AB233" s="87">
        <v>3900</v>
      </c>
      <c r="AC233" s="62" t="s">
        <v>97</v>
      </c>
      <c r="AD233" s="75" t="s">
        <v>97</v>
      </c>
      <c r="AE233" s="35"/>
      <c r="AF233" s="37">
        <f t="shared" si="1"/>
        <v>167932.79999999999</v>
      </c>
      <c r="AG233" s="29" t="s">
        <v>98</v>
      </c>
      <c r="AH233" s="226">
        <v>17679</v>
      </c>
      <c r="AI233" s="48" t="s">
        <v>231</v>
      </c>
      <c r="AJ233" s="39">
        <v>12000</v>
      </c>
      <c r="AK233" s="39" t="s">
        <v>202</v>
      </c>
      <c r="AL233" s="30">
        <v>3900</v>
      </c>
      <c r="AM233" s="205" t="s">
        <v>99</v>
      </c>
      <c r="AN233" s="40">
        <v>53200</v>
      </c>
      <c r="AO233" s="41" t="s">
        <v>333</v>
      </c>
      <c r="AP233" s="41" t="s">
        <v>334</v>
      </c>
      <c r="AQ233" s="27">
        <v>3000</v>
      </c>
      <c r="AR233" s="27" t="s">
        <v>94</v>
      </c>
      <c r="AS233" s="27">
        <v>900</v>
      </c>
      <c r="AT233" s="29">
        <v>41</v>
      </c>
      <c r="AU233" s="29" t="s">
        <v>100</v>
      </c>
      <c r="AV233" s="31">
        <v>42</v>
      </c>
      <c r="AW233" s="31" t="s">
        <v>100</v>
      </c>
      <c r="AX233" s="209"/>
      <c r="AY233" s="285"/>
      <c r="AZ233" s="285"/>
      <c r="BA233" s="286"/>
      <c r="BB233" s="286"/>
      <c r="BC233" s="44" t="s">
        <v>204</v>
      </c>
      <c r="BD233" s="33" t="s">
        <v>103</v>
      </c>
      <c r="BE233" s="271" t="s">
        <v>104</v>
      </c>
      <c r="BF233" s="271" t="s">
        <v>105</v>
      </c>
      <c r="BG233" s="269">
        <v>0</v>
      </c>
      <c r="BH233" s="42">
        <v>24000</v>
      </c>
      <c r="BI233" s="47" t="s">
        <v>100</v>
      </c>
      <c r="BJ233" s="32" t="s">
        <v>101</v>
      </c>
      <c r="BK233" s="32" t="s">
        <v>100</v>
      </c>
      <c r="BL233" s="26" t="s">
        <v>106</v>
      </c>
      <c r="BM233" s="26" t="s">
        <v>107</v>
      </c>
      <c r="BN233" s="209">
        <v>0</v>
      </c>
      <c r="BO233" s="26" t="s">
        <v>108</v>
      </c>
      <c r="BP233" s="34" t="s">
        <v>109</v>
      </c>
      <c r="BQ233" s="209">
        <v>4000</v>
      </c>
      <c r="BR233" s="26" t="s">
        <v>108</v>
      </c>
      <c r="BS233" s="34" t="s">
        <v>110</v>
      </c>
      <c r="BT233" s="209">
        <v>5500</v>
      </c>
      <c r="BU233" s="211">
        <v>11000</v>
      </c>
      <c r="BV233" s="212" t="s">
        <v>100</v>
      </c>
      <c r="BW233" s="212" t="s">
        <v>286</v>
      </c>
      <c r="BX233" s="213" t="s">
        <v>100</v>
      </c>
      <c r="BY233" s="213" t="s">
        <v>100</v>
      </c>
      <c r="BZ233" s="45">
        <v>2000</v>
      </c>
    </row>
    <row r="234" spans="3:78" ht="25.5">
      <c r="C234" s="1"/>
      <c r="D234" s="296"/>
      <c r="E234" s="310"/>
      <c r="F234" s="308"/>
      <c r="G234" s="74">
        <v>940</v>
      </c>
      <c r="H234" s="62">
        <v>750</v>
      </c>
      <c r="I234" s="62">
        <v>6000</v>
      </c>
      <c r="J234" s="62">
        <v>6000</v>
      </c>
      <c r="K234" s="62">
        <v>50</v>
      </c>
      <c r="L234" s="62">
        <v>94</v>
      </c>
      <c r="M234" s="84" t="s">
        <v>231</v>
      </c>
      <c r="N234" s="63">
        <f t="shared" si="0"/>
        <v>181400.63999999998</v>
      </c>
      <c r="O234" s="62" t="s">
        <v>89</v>
      </c>
      <c r="P234" s="62">
        <v>5</v>
      </c>
      <c r="Q234" s="64" t="s">
        <v>198</v>
      </c>
      <c r="R234" s="64" t="s">
        <v>91</v>
      </c>
      <c r="S234" s="64" t="s">
        <v>199</v>
      </c>
      <c r="T234" s="65" t="s">
        <v>92</v>
      </c>
      <c r="U234" s="65" t="s">
        <v>93</v>
      </c>
      <c r="V234" s="62" t="s">
        <v>99</v>
      </c>
      <c r="W234" s="62">
        <v>31</v>
      </c>
      <c r="X234" s="66" t="s">
        <v>95</v>
      </c>
      <c r="Y234" s="66" t="s">
        <v>96</v>
      </c>
      <c r="Z234" s="87">
        <v>12000</v>
      </c>
      <c r="AA234" s="84" t="s">
        <v>202</v>
      </c>
      <c r="AB234" s="87">
        <v>3900</v>
      </c>
      <c r="AC234" s="62" t="s">
        <v>97</v>
      </c>
      <c r="AD234" s="75" t="s">
        <v>97</v>
      </c>
      <c r="AE234" s="35"/>
      <c r="AF234" s="37">
        <f t="shared" si="1"/>
        <v>170516.16</v>
      </c>
      <c r="AG234" s="29" t="s">
        <v>98</v>
      </c>
      <c r="AH234" s="226">
        <v>17951</v>
      </c>
      <c r="AI234" s="48" t="s">
        <v>231</v>
      </c>
      <c r="AJ234" s="39">
        <v>12000</v>
      </c>
      <c r="AK234" s="39" t="s">
        <v>202</v>
      </c>
      <c r="AL234" s="30">
        <v>3900</v>
      </c>
      <c r="AM234" s="205" t="s">
        <v>99</v>
      </c>
      <c r="AN234" s="40">
        <v>53200</v>
      </c>
      <c r="AO234" s="41" t="s">
        <v>333</v>
      </c>
      <c r="AP234" s="41" t="s">
        <v>334</v>
      </c>
      <c r="AQ234" s="27">
        <v>3000</v>
      </c>
      <c r="AR234" s="27" t="s">
        <v>94</v>
      </c>
      <c r="AS234" s="27">
        <v>900</v>
      </c>
      <c r="AT234" s="29">
        <v>41</v>
      </c>
      <c r="AU234" s="29" t="s">
        <v>100</v>
      </c>
      <c r="AV234" s="31">
        <v>42</v>
      </c>
      <c r="AW234" s="31" t="s">
        <v>100</v>
      </c>
      <c r="AX234" s="209"/>
      <c r="AY234" s="285"/>
      <c r="AZ234" s="285"/>
      <c r="BA234" s="286"/>
      <c r="BB234" s="286"/>
      <c r="BC234" s="44" t="s">
        <v>204</v>
      </c>
      <c r="BD234" s="33" t="s">
        <v>103</v>
      </c>
      <c r="BE234" s="271" t="s">
        <v>104</v>
      </c>
      <c r="BF234" s="271" t="s">
        <v>105</v>
      </c>
      <c r="BG234" s="269">
        <v>0</v>
      </c>
      <c r="BH234" s="42">
        <v>24000</v>
      </c>
      <c r="BI234" s="47" t="s">
        <v>100</v>
      </c>
      <c r="BJ234" s="32" t="s">
        <v>101</v>
      </c>
      <c r="BK234" s="32" t="s">
        <v>100</v>
      </c>
      <c r="BL234" s="26" t="s">
        <v>106</v>
      </c>
      <c r="BM234" s="26" t="s">
        <v>107</v>
      </c>
      <c r="BN234" s="209">
        <v>0</v>
      </c>
      <c r="BO234" s="26" t="s">
        <v>108</v>
      </c>
      <c r="BP234" s="34" t="s">
        <v>109</v>
      </c>
      <c r="BQ234" s="209">
        <v>4000</v>
      </c>
      <c r="BR234" s="26" t="s">
        <v>108</v>
      </c>
      <c r="BS234" s="34" t="s">
        <v>110</v>
      </c>
      <c r="BT234" s="209">
        <v>5500</v>
      </c>
      <c r="BU234" s="211">
        <v>11000</v>
      </c>
      <c r="BV234" s="212" t="s">
        <v>100</v>
      </c>
      <c r="BW234" s="212" t="s">
        <v>286</v>
      </c>
      <c r="BX234" s="213" t="s">
        <v>100</v>
      </c>
      <c r="BY234" s="213" t="s">
        <v>100</v>
      </c>
      <c r="BZ234" s="45">
        <v>2000</v>
      </c>
    </row>
    <row r="235" spans="3:78" ht="26.25" thickBot="1">
      <c r="C235" s="1"/>
      <c r="D235" s="296"/>
      <c r="E235" s="310"/>
      <c r="F235" s="308"/>
      <c r="G235" s="175">
        <v>1000</v>
      </c>
      <c r="H235" s="77">
        <v>800</v>
      </c>
      <c r="I235" s="77">
        <v>6000</v>
      </c>
      <c r="J235" s="77">
        <v>6000</v>
      </c>
      <c r="K235" s="77">
        <v>50</v>
      </c>
      <c r="L235" s="77">
        <v>96</v>
      </c>
      <c r="M235" s="85" t="s">
        <v>231</v>
      </c>
      <c r="N235" s="78">
        <f t="shared" si="0"/>
        <v>182402.88</v>
      </c>
      <c r="O235" s="77" t="s">
        <v>89</v>
      </c>
      <c r="P235" s="77">
        <v>5</v>
      </c>
      <c r="Q235" s="79" t="s">
        <v>198</v>
      </c>
      <c r="R235" s="79" t="s">
        <v>91</v>
      </c>
      <c r="S235" s="79" t="s">
        <v>199</v>
      </c>
      <c r="T235" s="80" t="s">
        <v>92</v>
      </c>
      <c r="U235" s="80" t="s">
        <v>93</v>
      </c>
      <c r="V235" s="77" t="s">
        <v>99</v>
      </c>
      <c r="W235" s="77">
        <v>31</v>
      </c>
      <c r="X235" s="81" t="s">
        <v>95</v>
      </c>
      <c r="Y235" s="81" t="s">
        <v>96</v>
      </c>
      <c r="Z235" s="88">
        <v>12000</v>
      </c>
      <c r="AA235" s="85" t="s">
        <v>202</v>
      </c>
      <c r="AB235" s="88">
        <v>3900</v>
      </c>
      <c r="AC235" s="77" t="s">
        <v>97</v>
      </c>
      <c r="AD235" s="82" t="s">
        <v>97</v>
      </c>
      <c r="AE235" s="35"/>
      <c r="AF235" s="37">
        <f t="shared" si="1"/>
        <v>171458.88</v>
      </c>
      <c r="AG235" s="29" t="s">
        <v>98</v>
      </c>
      <c r="AH235" s="218">
        <v>18050</v>
      </c>
      <c r="AI235" s="219" t="s">
        <v>231</v>
      </c>
      <c r="AJ235" s="220">
        <v>12000</v>
      </c>
      <c r="AK235" s="220" t="s">
        <v>202</v>
      </c>
      <c r="AL235" s="221">
        <v>3900</v>
      </c>
      <c r="AM235" s="283" t="s">
        <v>99</v>
      </c>
      <c r="AN235" s="40">
        <v>53200</v>
      </c>
      <c r="AO235" s="41" t="s">
        <v>333</v>
      </c>
      <c r="AP235" s="41" t="s">
        <v>334</v>
      </c>
      <c r="AQ235" s="27">
        <v>3000</v>
      </c>
      <c r="AR235" s="27" t="s">
        <v>94</v>
      </c>
      <c r="AS235" s="27">
        <v>900</v>
      </c>
      <c r="AT235" s="29">
        <v>41</v>
      </c>
      <c r="AU235" s="29" t="s">
        <v>100</v>
      </c>
      <c r="AV235" s="31">
        <v>42</v>
      </c>
      <c r="AW235" s="31" t="s">
        <v>100</v>
      </c>
      <c r="AX235" s="209"/>
      <c r="AY235" s="285"/>
      <c r="AZ235" s="285"/>
      <c r="BA235" s="286"/>
      <c r="BB235" s="286"/>
      <c r="BC235" s="44" t="s">
        <v>204</v>
      </c>
      <c r="BD235" s="33" t="s">
        <v>103</v>
      </c>
      <c r="BE235" s="271" t="s">
        <v>104</v>
      </c>
      <c r="BF235" s="271" t="s">
        <v>105</v>
      </c>
      <c r="BG235" s="269">
        <v>0</v>
      </c>
      <c r="BH235" s="42">
        <v>27000</v>
      </c>
      <c r="BI235" s="47" t="s">
        <v>100</v>
      </c>
      <c r="BJ235" s="32" t="s">
        <v>101</v>
      </c>
      <c r="BK235" s="32" t="s">
        <v>100</v>
      </c>
      <c r="BL235" s="26" t="s">
        <v>106</v>
      </c>
      <c r="BM235" s="26" t="s">
        <v>107</v>
      </c>
      <c r="BN235" s="209">
        <v>0</v>
      </c>
      <c r="BO235" s="26" t="s">
        <v>108</v>
      </c>
      <c r="BP235" s="34" t="s">
        <v>109</v>
      </c>
      <c r="BQ235" s="209">
        <v>4000</v>
      </c>
      <c r="BR235" s="26" t="s">
        <v>108</v>
      </c>
      <c r="BS235" s="34" t="s">
        <v>110</v>
      </c>
      <c r="BT235" s="209">
        <v>5500</v>
      </c>
      <c r="BU235" s="211">
        <v>11000</v>
      </c>
      <c r="BV235" s="212" t="s">
        <v>100</v>
      </c>
      <c r="BW235" s="212" t="s">
        <v>286</v>
      </c>
      <c r="BX235" s="213" t="s">
        <v>100</v>
      </c>
      <c r="BY235" s="213" t="s">
        <v>100</v>
      </c>
      <c r="BZ235" s="45">
        <v>2000</v>
      </c>
    </row>
    <row r="236" spans="3:78" ht="25.5">
      <c r="C236" s="1"/>
      <c r="D236" s="296"/>
      <c r="E236" s="310"/>
      <c r="F236" s="308"/>
      <c r="G236" s="178">
        <v>1125</v>
      </c>
      <c r="H236" s="68">
        <v>900</v>
      </c>
      <c r="I236" s="68">
        <v>6000</v>
      </c>
      <c r="J236" s="68">
        <v>6000</v>
      </c>
      <c r="K236" s="68">
        <v>50</v>
      </c>
      <c r="L236" s="68">
        <v>110</v>
      </c>
      <c r="M236" s="103" t="s">
        <v>232</v>
      </c>
      <c r="N236" s="69">
        <f t="shared" si="0"/>
        <v>202602.23999999999</v>
      </c>
      <c r="O236" s="68" t="s">
        <v>89</v>
      </c>
      <c r="P236" s="68">
        <v>5</v>
      </c>
      <c r="Q236" s="70" t="s">
        <v>198</v>
      </c>
      <c r="R236" s="70" t="s">
        <v>91</v>
      </c>
      <c r="S236" s="70" t="s">
        <v>199</v>
      </c>
      <c r="T236" s="71" t="s">
        <v>92</v>
      </c>
      <c r="U236" s="71" t="s">
        <v>93</v>
      </c>
      <c r="V236" s="68" t="s">
        <v>99</v>
      </c>
      <c r="W236" s="68">
        <v>31</v>
      </c>
      <c r="X236" s="72" t="s">
        <v>95</v>
      </c>
      <c r="Y236" s="72" t="s">
        <v>96</v>
      </c>
      <c r="Z236" s="104">
        <v>18000</v>
      </c>
      <c r="AA236" s="103" t="s">
        <v>203</v>
      </c>
      <c r="AB236" s="104">
        <v>4100</v>
      </c>
      <c r="AC236" s="68" t="s">
        <v>97</v>
      </c>
      <c r="AD236" s="73" t="s">
        <v>97</v>
      </c>
      <c r="AE236" s="35"/>
      <c r="AF236" s="37">
        <f t="shared" si="1"/>
        <v>190445.75999999998</v>
      </c>
      <c r="AG236" s="29" t="s">
        <v>98</v>
      </c>
      <c r="AH236" s="222">
        <v>20049</v>
      </c>
      <c r="AI236" s="223" t="s">
        <v>232</v>
      </c>
      <c r="AJ236" s="224">
        <v>18000</v>
      </c>
      <c r="AK236" s="224" t="s">
        <v>203</v>
      </c>
      <c r="AL236" s="225">
        <v>4100</v>
      </c>
      <c r="AM236" s="284" t="s">
        <v>99</v>
      </c>
      <c r="AN236" s="40">
        <v>53200</v>
      </c>
      <c r="AO236" s="41" t="s">
        <v>333</v>
      </c>
      <c r="AP236" s="41" t="s">
        <v>334</v>
      </c>
      <c r="AQ236" s="27">
        <v>3000</v>
      </c>
      <c r="AR236" s="27" t="s">
        <v>94</v>
      </c>
      <c r="AS236" s="27">
        <v>900</v>
      </c>
      <c r="AT236" s="29">
        <v>41</v>
      </c>
      <c r="AU236" s="29" t="s">
        <v>100</v>
      </c>
      <c r="AV236" s="31">
        <v>42</v>
      </c>
      <c r="AW236" s="31" t="s">
        <v>100</v>
      </c>
      <c r="AX236" s="209"/>
      <c r="AY236" s="285"/>
      <c r="AZ236" s="285"/>
      <c r="BA236" s="286"/>
      <c r="BB236" s="286"/>
      <c r="BC236" s="44" t="s">
        <v>204</v>
      </c>
      <c r="BD236" s="33" t="s">
        <v>103</v>
      </c>
      <c r="BE236" s="271" t="s">
        <v>104</v>
      </c>
      <c r="BF236" s="271" t="s">
        <v>105</v>
      </c>
      <c r="BG236" s="269">
        <v>0</v>
      </c>
      <c r="BH236" s="42">
        <v>27000</v>
      </c>
      <c r="BI236" s="47" t="s">
        <v>100</v>
      </c>
      <c r="BJ236" s="32" t="s">
        <v>101</v>
      </c>
      <c r="BK236" s="32" t="s">
        <v>100</v>
      </c>
      <c r="BL236" s="26" t="s">
        <v>106</v>
      </c>
      <c r="BM236" s="26" t="s">
        <v>107</v>
      </c>
      <c r="BN236" s="209">
        <v>0</v>
      </c>
      <c r="BO236" s="26" t="s">
        <v>108</v>
      </c>
      <c r="BP236" s="34" t="s">
        <v>109</v>
      </c>
      <c r="BQ236" s="209">
        <v>4000</v>
      </c>
      <c r="BR236" s="26" t="s">
        <v>108</v>
      </c>
      <c r="BS236" s="34" t="s">
        <v>110</v>
      </c>
      <c r="BT236" s="209">
        <v>5500</v>
      </c>
      <c r="BU236" s="211">
        <v>11000</v>
      </c>
      <c r="BV236" s="212" t="s">
        <v>100</v>
      </c>
      <c r="BW236" s="212" t="s">
        <v>286</v>
      </c>
      <c r="BX236" s="213" t="s">
        <v>100</v>
      </c>
      <c r="BY236" s="213" t="s">
        <v>100</v>
      </c>
      <c r="BZ236" s="45">
        <v>2000</v>
      </c>
    </row>
    <row r="237" spans="3:78" ht="25.5">
      <c r="C237" s="1"/>
      <c r="D237" s="296"/>
      <c r="E237" s="310"/>
      <c r="F237" s="308"/>
      <c r="G237" s="174">
        <v>1250</v>
      </c>
      <c r="H237" s="62">
        <v>1000</v>
      </c>
      <c r="I237" s="62">
        <v>6000</v>
      </c>
      <c r="J237" s="62">
        <v>6000</v>
      </c>
      <c r="K237" s="62">
        <v>50</v>
      </c>
      <c r="L237" s="62">
        <v>120</v>
      </c>
      <c r="M237" s="101" t="s">
        <v>232</v>
      </c>
      <c r="N237" s="63">
        <f t="shared" si="0"/>
        <v>220140.47999999998</v>
      </c>
      <c r="O237" s="62" t="s">
        <v>89</v>
      </c>
      <c r="P237" s="62">
        <v>5</v>
      </c>
      <c r="Q237" s="64" t="s">
        <v>198</v>
      </c>
      <c r="R237" s="64" t="s">
        <v>91</v>
      </c>
      <c r="S237" s="64" t="s">
        <v>199</v>
      </c>
      <c r="T237" s="65" t="s">
        <v>92</v>
      </c>
      <c r="U237" s="65" t="s">
        <v>93</v>
      </c>
      <c r="V237" s="62" t="s">
        <v>99</v>
      </c>
      <c r="W237" s="62">
        <v>31</v>
      </c>
      <c r="X237" s="66" t="s">
        <v>95</v>
      </c>
      <c r="Y237" s="66" t="s">
        <v>96</v>
      </c>
      <c r="Z237" s="102">
        <v>18000</v>
      </c>
      <c r="AA237" s="101" t="s">
        <v>203</v>
      </c>
      <c r="AB237" s="102">
        <v>4100</v>
      </c>
      <c r="AC237" s="62" t="s">
        <v>97</v>
      </c>
      <c r="AD237" s="75" t="s">
        <v>97</v>
      </c>
      <c r="AE237" s="35"/>
      <c r="AF237" s="37">
        <f t="shared" si="1"/>
        <v>206931.84</v>
      </c>
      <c r="AG237" s="29" t="s">
        <v>98</v>
      </c>
      <c r="AH237" s="226">
        <v>21785</v>
      </c>
      <c r="AI237" s="48" t="s">
        <v>232</v>
      </c>
      <c r="AJ237" s="39">
        <v>18000</v>
      </c>
      <c r="AK237" s="39" t="s">
        <v>203</v>
      </c>
      <c r="AL237" s="30">
        <v>4100</v>
      </c>
      <c r="AM237" s="205" t="s">
        <v>99</v>
      </c>
      <c r="AN237" s="40">
        <v>65075</v>
      </c>
      <c r="AO237" s="41" t="s">
        <v>333</v>
      </c>
      <c r="AP237" s="41" t="s">
        <v>334</v>
      </c>
      <c r="AQ237" s="27">
        <v>3000</v>
      </c>
      <c r="AR237" s="27" t="s">
        <v>94</v>
      </c>
      <c r="AS237" s="27">
        <v>900</v>
      </c>
      <c r="AT237" s="29">
        <v>41</v>
      </c>
      <c r="AU237" s="29" t="s">
        <v>100</v>
      </c>
      <c r="AV237" s="31">
        <v>42</v>
      </c>
      <c r="AW237" s="31" t="s">
        <v>100</v>
      </c>
      <c r="AX237" s="209"/>
      <c r="AY237" s="285"/>
      <c r="AZ237" s="285"/>
      <c r="BA237" s="286"/>
      <c r="BB237" s="286"/>
      <c r="BC237" s="44" t="s">
        <v>204</v>
      </c>
      <c r="BD237" s="33" t="s">
        <v>103</v>
      </c>
      <c r="BE237" s="271" t="s">
        <v>104</v>
      </c>
      <c r="BF237" s="271" t="s">
        <v>105</v>
      </c>
      <c r="BG237" s="269">
        <v>0</v>
      </c>
      <c r="BH237" s="42">
        <v>27000</v>
      </c>
      <c r="BI237" s="47" t="s">
        <v>100</v>
      </c>
      <c r="BJ237" s="32" t="s">
        <v>101</v>
      </c>
      <c r="BK237" s="32" t="s">
        <v>100</v>
      </c>
      <c r="BL237" s="26" t="s">
        <v>106</v>
      </c>
      <c r="BM237" s="26" t="s">
        <v>107</v>
      </c>
      <c r="BN237" s="209">
        <v>0</v>
      </c>
      <c r="BO237" s="26" t="s">
        <v>108</v>
      </c>
      <c r="BP237" s="34" t="s">
        <v>109</v>
      </c>
      <c r="BQ237" s="209">
        <v>4000</v>
      </c>
      <c r="BR237" s="26" t="s">
        <v>108</v>
      </c>
      <c r="BS237" s="34" t="s">
        <v>110</v>
      </c>
      <c r="BT237" s="209">
        <v>5500</v>
      </c>
      <c r="BU237" s="211">
        <v>11000</v>
      </c>
      <c r="BV237" s="212" t="s">
        <v>100</v>
      </c>
      <c r="BW237" s="212" t="s">
        <v>286</v>
      </c>
      <c r="BX237" s="213" t="s">
        <v>100</v>
      </c>
      <c r="BY237" s="213" t="s">
        <v>100</v>
      </c>
      <c r="BZ237" s="45">
        <v>2000</v>
      </c>
    </row>
    <row r="238" spans="3:78" ht="26.25" thickBot="1">
      <c r="C238" s="1"/>
      <c r="D238" s="296"/>
      <c r="E238" s="310"/>
      <c r="F238" s="308"/>
      <c r="G238" s="175">
        <v>1400</v>
      </c>
      <c r="H238" s="77">
        <v>1120</v>
      </c>
      <c r="I238" s="77">
        <v>6000</v>
      </c>
      <c r="J238" s="77">
        <v>6000</v>
      </c>
      <c r="K238" s="77">
        <v>50</v>
      </c>
      <c r="L238" s="77">
        <v>135</v>
      </c>
      <c r="M238" s="136" t="s">
        <v>232</v>
      </c>
      <c r="N238" s="78">
        <f t="shared" si="0"/>
        <v>224160.96</v>
      </c>
      <c r="O238" s="77" t="s">
        <v>89</v>
      </c>
      <c r="P238" s="77">
        <v>5</v>
      </c>
      <c r="Q238" s="79" t="s">
        <v>198</v>
      </c>
      <c r="R238" s="79" t="s">
        <v>91</v>
      </c>
      <c r="S238" s="79" t="s">
        <v>199</v>
      </c>
      <c r="T238" s="80" t="s">
        <v>92</v>
      </c>
      <c r="U238" s="80" t="s">
        <v>93</v>
      </c>
      <c r="V238" s="77" t="s">
        <v>99</v>
      </c>
      <c r="W238" s="77">
        <v>31</v>
      </c>
      <c r="X238" s="81" t="s">
        <v>95</v>
      </c>
      <c r="Y238" s="81" t="s">
        <v>96</v>
      </c>
      <c r="Z238" s="170">
        <v>18000</v>
      </c>
      <c r="AA238" s="136" t="s">
        <v>203</v>
      </c>
      <c r="AB238" s="170">
        <v>4100</v>
      </c>
      <c r="AC238" s="176" t="s">
        <v>97</v>
      </c>
      <c r="AD238" s="177" t="s">
        <v>97</v>
      </c>
      <c r="AE238" s="35"/>
      <c r="AF238" s="37">
        <f t="shared" si="1"/>
        <v>210711.36</v>
      </c>
      <c r="AG238" s="29" t="s">
        <v>98</v>
      </c>
      <c r="AH238" s="218">
        <v>22183</v>
      </c>
      <c r="AI238" s="219" t="s">
        <v>232</v>
      </c>
      <c r="AJ238" s="220">
        <v>18000</v>
      </c>
      <c r="AK238" s="220" t="s">
        <v>203</v>
      </c>
      <c r="AL238" s="221">
        <v>4100</v>
      </c>
      <c r="AM238" s="283" t="s">
        <v>99</v>
      </c>
      <c r="AN238" s="40">
        <v>65075</v>
      </c>
      <c r="AO238" s="41" t="s">
        <v>333</v>
      </c>
      <c r="AP238" s="41" t="s">
        <v>334</v>
      </c>
      <c r="AQ238" s="27">
        <v>3000</v>
      </c>
      <c r="AR238" s="27" t="s">
        <v>94</v>
      </c>
      <c r="AS238" s="27">
        <v>900</v>
      </c>
      <c r="AT238" s="29">
        <v>41</v>
      </c>
      <c r="AU238" s="29" t="s">
        <v>100</v>
      </c>
      <c r="AV238" s="31">
        <v>42</v>
      </c>
      <c r="AW238" s="31" t="s">
        <v>100</v>
      </c>
      <c r="AX238" s="209"/>
      <c r="AY238" s="285"/>
      <c r="AZ238" s="285"/>
      <c r="BA238" s="286"/>
      <c r="BB238" s="286"/>
      <c r="BC238" s="44" t="s">
        <v>204</v>
      </c>
      <c r="BD238" s="33" t="s">
        <v>103</v>
      </c>
      <c r="BE238" s="271" t="s">
        <v>104</v>
      </c>
      <c r="BF238" s="271" t="s">
        <v>105</v>
      </c>
      <c r="BG238" s="269">
        <v>0</v>
      </c>
      <c r="BH238" s="42">
        <v>27000</v>
      </c>
      <c r="BI238" s="47" t="s">
        <v>100</v>
      </c>
      <c r="BJ238" s="32" t="s">
        <v>101</v>
      </c>
      <c r="BK238" s="32" t="s">
        <v>100</v>
      </c>
      <c r="BL238" s="26" t="s">
        <v>106</v>
      </c>
      <c r="BM238" s="26" t="s">
        <v>107</v>
      </c>
      <c r="BN238" s="209">
        <v>0</v>
      </c>
      <c r="BO238" s="26" t="s">
        <v>108</v>
      </c>
      <c r="BP238" s="34" t="s">
        <v>109</v>
      </c>
      <c r="BQ238" s="209">
        <v>4000</v>
      </c>
      <c r="BR238" s="26" t="s">
        <v>108</v>
      </c>
      <c r="BS238" s="34" t="s">
        <v>110</v>
      </c>
      <c r="BT238" s="209">
        <v>5500</v>
      </c>
      <c r="BU238" s="211">
        <v>11000</v>
      </c>
      <c r="BV238" s="212" t="s">
        <v>100</v>
      </c>
      <c r="BW238" s="212" t="s">
        <v>286</v>
      </c>
      <c r="BX238" s="213" t="s">
        <v>100</v>
      </c>
      <c r="BY238" s="213" t="s">
        <v>100</v>
      </c>
      <c r="BZ238" s="45">
        <v>2000</v>
      </c>
    </row>
    <row r="239" spans="3:78" ht="26.25" thickBot="1">
      <c r="C239" s="1"/>
      <c r="D239" s="296"/>
      <c r="E239" s="310"/>
      <c r="F239" s="308"/>
      <c r="G239" s="178">
        <v>1565</v>
      </c>
      <c r="H239" s="68">
        <v>1250</v>
      </c>
      <c r="I239" s="68">
        <v>6000</v>
      </c>
      <c r="J239" s="68">
        <v>6000</v>
      </c>
      <c r="K239" s="68">
        <v>50</v>
      </c>
      <c r="L239" s="68">
        <v>150</v>
      </c>
      <c r="M239" s="83" t="s">
        <v>233</v>
      </c>
      <c r="N239" s="69">
        <f t="shared" si="0"/>
        <v>256020.47999999998</v>
      </c>
      <c r="O239" s="68" t="s">
        <v>89</v>
      </c>
      <c r="P239" s="68">
        <v>5</v>
      </c>
      <c r="Q239" s="70" t="s">
        <v>198</v>
      </c>
      <c r="R239" s="70" t="s">
        <v>91</v>
      </c>
      <c r="S239" s="70" t="s">
        <v>199</v>
      </c>
      <c r="T239" s="71" t="s">
        <v>92</v>
      </c>
      <c r="U239" s="71" t="s">
        <v>93</v>
      </c>
      <c r="V239" s="68" t="s">
        <v>99</v>
      </c>
      <c r="W239" s="68">
        <v>31</v>
      </c>
      <c r="X239" s="72" t="s">
        <v>95</v>
      </c>
      <c r="Y239" s="72" t="s">
        <v>96</v>
      </c>
      <c r="Z239" s="86">
        <v>27000</v>
      </c>
      <c r="AA239" s="83" t="s">
        <v>203</v>
      </c>
      <c r="AB239" s="86">
        <v>4100</v>
      </c>
      <c r="AC239" s="179" t="s">
        <v>97</v>
      </c>
      <c r="AD239" s="180" t="s">
        <v>97</v>
      </c>
      <c r="AE239" s="35"/>
      <c r="AF239" s="37">
        <f t="shared" si="1"/>
        <v>240659.52</v>
      </c>
      <c r="AG239" s="29" t="s">
        <v>98</v>
      </c>
      <c r="AH239" s="222">
        <v>25335</v>
      </c>
      <c r="AI239" s="223" t="s">
        <v>233</v>
      </c>
      <c r="AJ239" s="224">
        <v>27000</v>
      </c>
      <c r="AK239" s="224" t="s">
        <v>203</v>
      </c>
      <c r="AL239" s="225">
        <v>4100</v>
      </c>
      <c r="AM239" s="284" t="s">
        <v>99</v>
      </c>
      <c r="AN239" s="235">
        <v>65075</v>
      </c>
      <c r="AO239" s="236" t="s">
        <v>333</v>
      </c>
      <c r="AP239" s="236" t="s">
        <v>334</v>
      </c>
      <c r="AQ239" s="236">
        <v>3000</v>
      </c>
      <c r="AR239" s="236" t="s">
        <v>94</v>
      </c>
      <c r="AS239" s="236">
        <v>900</v>
      </c>
      <c r="AT239" s="29">
        <v>41</v>
      </c>
      <c r="AU239" s="29" t="s">
        <v>100</v>
      </c>
      <c r="AV239" s="31">
        <v>42</v>
      </c>
      <c r="AW239" s="31" t="s">
        <v>100</v>
      </c>
      <c r="AX239" s="209"/>
      <c r="AY239" s="285"/>
      <c r="AZ239" s="285"/>
      <c r="BA239" s="286"/>
      <c r="BB239" s="286"/>
      <c r="BC239" s="44" t="s">
        <v>204</v>
      </c>
      <c r="BD239" s="33" t="s">
        <v>103</v>
      </c>
      <c r="BE239" s="271" t="s">
        <v>104</v>
      </c>
      <c r="BF239" s="271" t="s">
        <v>105</v>
      </c>
      <c r="BG239" s="269">
        <v>0</v>
      </c>
      <c r="BH239" s="42">
        <v>27000</v>
      </c>
      <c r="BI239" s="47" t="s">
        <v>100</v>
      </c>
      <c r="BJ239" s="32" t="s">
        <v>101</v>
      </c>
      <c r="BK239" s="32" t="s">
        <v>100</v>
      </c>
      <c r="BL239" s="26" t="s">
        <v>106</v>
      </c>
      <c r="BM239" s="26" t="s">
        <v>107</v>
      </c>
      <c r="BN239" s="209">
        <v>0</v>
      </c>
      <c r="BO239" s="26" t="s">
        <v>108</v>
      </c>
      <c r="BP239" s="34" t="s">
        <v>109</v>
      </c>
      <c r="BQ239" s="209">
        <v>4000</v>
      </c>
      <c r="BR239" s="26" t="s">
        <v>108</v>
      </c>
      <c r="BS239" s="34" t="s">
        <v>110</v>
      </c>
      <c r="BT239" s="209">
        <v>5500</v>
      </c>
      <c r="BU239" s="211">
        <v>11000</v>
      </c>
      <c r="BV239" s="212" t="s">
        <v>100</v>
      </c>
      <c r="BW239" s="212" t="s">
        <v>286</v>
      </c>
      <c r="BX239" s="213" t="s">
        <v>100</v>
      </c>
      <c r="BY239" s="213" t="s">
        <v>100</v>
      </c>
      <c r="BZ239" s="45">
        <v>2000</v>
      </c>
    </row>
    <row r="240" spans="3:78" ht="145.5" customHeight="1" thickBot="1">
      <c r="C240" s="1"/>
      <c r="D240" s="297"/>
      <c r="E240" s="311"/>
      <c r="F240" s="309"/>
      <c r="G240" s="175">
        <v>1750</v>
      </c>
      <c r="H240" s="77">
        <v>1400</v>
      </c>
      <c r="I240" s="77">
        <v>6000</v>
      </c>
      <c r="J240" s="77">
        <v>6000</v>
      </c>
      <c r="K240" s="77">
        <v>50</v>
      </c>
      <c r="L240" s="77">
        <v>170</v>
      </c>
      <c r="M240" s="85" t="s">
        <v>233</v>
      </c>
      <c r="N240" s="78">
        <f t="shared" si="0"/>
        <v>268497.59999999998</v>
      </c>
      <c r="O240" s="77" t="s">
        <v>89</v>
      </c>
      <c r="P240" s="77">
        <v>5</v>
      </c>
      <c r="Q240" s="79" t="s">
        <v>198</v>
      </c>
      <c r="R240" s="79" t="s">
        <v>91</v>
      </c>
      <c r="S240" s="79" t="s">
        <v>199</v>
      </c>
      <c r="T240" s="80" t="s">
        <v>92</v>
      </c>
      <c r="U240" s="80" t="s">
        <v>93</v>
      </c>
      <c r="V240" s="77" t="s">
        <v>99</v>
      </c>
      <c r="W240" s="77">
        <v>31</v>
      </c>
      <c r="X240" s="81" t="s">
        <v>95</v>
      </c>
      <c r="Y240" s="81" t="s">
        <v>96</v>
      </c>
      <c r="Z240" s="88">
        <v>27000</v>
      </c>
      <c r="AA240" s="85" t="s">
        <v>203</v>
      </c>
      <c r="AB240" s="88">
        <v>4100</v>
      </c>
      <c r="AC240" s="176" t="s">
        <v>97</v>
      </c>
      <c r="AD240" s="177" t="s">
        <v>97</v>
      </c>
      <c r="AE240" s="35"/>
      <c r="AF240" s="37">
        <f t="shared" si="1"/>
        <v>252387.84</v>
      </c>
      <c r="AG240" s="29" t="s">
        <v>98</v>
      </c>
      <c r="AH240" s="218">
        <v>26570</v>
      </c>
      <c r="AI240" s="219" t="s">
        <v>233</v>
      </c>
      <c r="AJ240" s="220">
        <v>27000</v>
      </c>
      <c r="AK240" s="220" t="s">
        <v>203</v>
      </c>
      <c r="AL240" s="221">
        <v>4100</v>
      </c>
      <c r="AM240" s="283" t="s">
        <v>99</v>
      </c>
      <c r="AN240" s="248">
        <v>65075</v>
      </c>
      <c r="AO240" s="249" t="s">
        <v>304</v>
      </c>
      <c r="AP240" s="249" t="s">
        <v>307</v>
      </c>
      <c r="AQ240" s="249">
        <v>3000</v>
      </c>
      <c r="AR240" s="249" t="s">
        <v>94</v>
      </c>
      <c r="AS240" s="249">
        <v>1500</v>
      </c>
      <c r="AT240" s="29">
        <v>41</v>
      </c>
      <c r="AU240" s="29" t="s">
        <v>100</v>
      </c>
      <c r="AV240" s="31">
        <v>42</v>
      </c>
      <c r="AW240" s="31" t="s">
        <v>100</v>
      </c>
      <c r="AX240" s="209"/>
      <c r="AY240" s="285"/>
      <c r="AZ240" s="285"/>
      <c r="BA240" s="286"/>
      <c r="BB240" s="286"/>
      <c r="BC240" s="44" t="s">
        <v>204</v>
      </c>
      <c r="BD240" s="33" t="s">
        <v>103</v>
      </c>
      <c r="BE240" s="271" t="s">
        <v>104</v>
      </c>
      <c r="BF240" s="271" t="s">
        <v>105</v>
      </c>
      <c r="BG240" s="269">
        <v>0</v>
      </c>
      <c r="BH240" s="42">
        <v>27000</v>
      </c>
      <c r="BI240" s="47" t="s">
        <v>100</v>
      </c>
      <c r="BJ240" s="32" t="s">
        <v>101</v>
      </c>
      <c r="BK240" s="32" t="s">
        <v>100</v>
      </c>
      <c r="BL240" s="26" t="s">
        <v>106</v>
      </c>
      <c r="BM240" s="26" t="s">
        <v>107</v>
      </c>
      <c r="BN240" s="209">
        <v>0</v>
      </c>
      <c r="BO240" s="26" t="s">
        <v>108</v>
      </c>
      <c r="BP240" s="34" t="s">
        <v>109</v>
      </c>
      <c r="BQ240" s="209">
        <v>4000</v>
      </c>
      <c r="BR240" s="26" t="s">
        <v>108</v>
      </c>
      <c r="BS240" s="34" t="s">
        <v>110</v>
      </c>
      <c r="BT240" s="209">
        <v>5500</v>
      </c>
      <c r="BU240" s="211">
        <v>11000</v>
      </c>
      <c r="BV240" s="212" t="s">
        <v>100</v>
      </c>
      <c r="BW240" s="212" t="s">
        <v>286</v>
      </c>
      <c r="BX240" s="213" t="s">
        <v>100</v>
      </c>
      <c r="BY240" s="213" t="s">
        <v>100</v>
      </c>
      <c r="BZ240" s="45">
        <v>2000</v>
      </c>
    </row>
    <row r="241" spans="3:78" ht="13.5" thickBot="1">
      <c r="C241" s="1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287"/>
      <c r="AY241" s="287"/>
      <c r="AZ241" s="287"/>
      <c r="BA241" s="287"/>
      <c r="BB241" s="287"/>
      <c r="BC241" s="36"/>
      <c r="BD241" s="36"/>
      <c r="BE241" s="36"/>
      <c r="BF241" s="36"/>
      <c r="BG241" s="36"/>
      <c r="BH241" s="36"/>
      <c r="BI241" s="36"/>
      <c r="BJ241" s="36"/>
      <c r="BK241" s="36"/>
      <c r="BL241" s="36"/>
      <c r="BM241" s="36"/>
      <c r="BN241" s="36"/>
      <c r="BO241" s="36"/>
      <c r="BP241" s="36"/>
      <c r="BQ241" s="36"/>
      <c r="BR241" s="36"/>
      <c r="BS241" s="36"/>
      <c r="BT241" s="36"/>
      <c r="BZ241" s="36"/>
    </row>
    <row r="242" spans="3:78" ht="25.5" customHeight="1">
      <c r="C242" s="1"/>
      <c r="D242" s="295">
        <v>10</v>
      </c>
      <c r="E242" s="298" t="s">
        <v>347</v>
      </c>
      <c r="F242" s="307" t="s">
        <v>346</v>
      </c>
      <c r="G242" s="67">
        <v>250</v>
      </c>
      <c r="H242" s="68">
        <v>200</v>
      </c>
      <c r="I242" s="68">
        <v>6000</v>
      </c>
      <c r="J242" s="68">
        <v>6000</v>
      </c>
      <c r="K242" s="68">
        <v>50</v>
      </c>
      <c r="L242" s="68">
        <v>25</v>
      </c>
      <c r="M242" s="83" t="s">
        <v>229</v>
      </c>
      <c r="N242" s="195">
        <f>N130*0.96</f>
        <v>156056.63999999998</v>
      </c>
      <c r="O242" s="68" t="s">
        <v>89</v>
      </c>
      <c r="P242" s="68">
        <v>6</v>
      </c>
      <c r="Q242" s="70" t="s">
        <v>198</v>
      </c>
      <c r="R242" s="70" t="s">
        <v>91</v>
      </c>
      <c r="S242" s="70" t="s">
        <v>199</v>
      </c>
      <c r="T242" s="71" t="s">
        <v>92</v>
      </c>
      <c r="U242" s="71" t="s">
        <v>93</v>
      </c>
      <c r="V242" s="68" t="s">
        <v>99</v>
      </c>
      <c r="W242" s="68">
        <v>31</v>
      </c>
      <c r="X242" s="72" t="s">
        <v>95</v>
      </c>
      <c r="Y242" s="72" t="s">
        <v>96</v>
      </c>
      <c r="Z242" s="86">
        <v>6000</v>
      </c>
      <c r="AA242" s="83" t="s">
        <v>208</v>
      </c>
      <c r="AB242" s="86">
        <v>2560</v>
      </c>
      <c r="AC242" s="68" t="s">
        <v>97</v>
      </c>
      <c r="AD242" s="73" t="s">
        <v>97</v>
      </c>
      <c r="AE242" s="28"/>
      <c r="AF242" s="37">
        <f>AF130*0.96</f>
        <v>147466.56</v>
      </c>
      <c r="AG242" s="29" t="s">
        <v>98</v>
      </c>
      <c r="AH242" s="226">
        <v>14168</v>
      </c>
      <c r="AI242" s="48" t="s">
        <v>229</v>
      </c>
      <c r="AJ242" s="39">
        <v>6000</v>
      </c>
      <c r="AK242" s="39" t="s">
        <v>208</v>
      </c>
      <c r="AL242" s="39">
        <v>2560</v>
      </c>
      <c r="AM242" s="30" t="s">
        <v>99</v>
      </c>
      <c r="AN242" s="40">
        <v>53200</v>
      </c>
      <c r="AO242" s="41" t="s">
        <v>333</v>
      </c>
      <c r="AP242" s="41" t="s">
        <v>334</v>
      </c>
      <c r="AQ242" s="27">
        <v>3000</v>
      </c>
      <c r="AR242" s="27" t="s">
        <v>94</v>
      </c>
      <c r="AS242" s="27">
        <v>900</v>
      </c>
      <c r="AT242" s="29">
        <v>41</v>
      </c>
      <c r="AU242" s="29" t="s">
        <v>100</v>
      </c>
      <c r="AV242" s="31">
        <v>42</v>
      </c>
      <c r="AW242" s="31" t="s">
        <v>100</v>
      </c>
      <c r="AX242" s="209"/>
      <c r="AY242" s="285"/>
      <c r="AZ242" s="285"/>
      <c r="BA242" s="286"/>
      <c r="BB242" s="286"/>
      <c r="BC242" s="44" t="s">
        <v>204</v>
      </c>
      <c r="BD242" s="33" t="s">
        <v>103</v>
      </c>
      <c r="BE242" s="271" t="s">
        <v>104</v>
      </c>
      <c r="BF242" s="271" t="s">
        <v>105</v>
      </c>
      <c r="BG242" s="269">
        <v>0</v>
      </c>
      <c r="BH242" s="42">
        <v>24000</v>
      </c>
      <c r="BI242" s="47" t="s">
        <v>100</v>
      </c>
      <c r="BJ242" s="32" t="s">
        <v>309</v>
      </c>
      <c r="BK242" s="32">
        <v>500</v>
      </c>
      <c r="BL242" s="26" t="s">
        <v>106</v>
      </c>
      <c r="BM242" s="26" t="s">
        <v>107</v>
      </c>
      <c r="BN242" s="209">
        <v>0</v>
      </c>
      <c r="BO242" s="26" t="s">
        <v>108</v>
      </c>
      <c r="BP242" s="34" t="s">
        <v>109</v>
      </c>
      <c r="BQ242" s="209">
        <v>4000</v>
      </c>
      <c r="BR242" s="26" t="s">
        <v>108</v>
      </c>
      <c r="BS242" s="34" t="s">
        <v>110</v>
      </c>
      <c r="BT242" s="209">
        <v>5500</v>
      </c>
      <c r="BU242" s="211">
        <v>11000</v>
      </c>
      <c r="BV242" s="212" t="s">
        <v>100</v>
      </c>
      <c r="BW242" s="212" t="s">
        <v>286</v>
      </c>
      <c r="BX242" s="213" t="s">
        <v>100</v>
      </c>
      <c r="BY242" s="213" t="s">
        <v>100</v>
      </c>
      <c r="BZ242" s="45">
        <v>2000</v>
      </c>
    </row>
    <row r="243" spans="3:78" ht="26.25" thickBot="1">
      <c r="C243" s="1"/>
      <c r="D243" s="296"/>
      <c r="E243" s="299"/>
      <c r="F243" s="308"/>
      <c r="G243" s="74">
        <v>275</v>
      </c>
      <c r="H243" s="62">
        <v>220</v>
      </c>
      <c r="I243" s="62">
        <v>6000</v>
      </c>
      <c r="J243" s="62">
        <v>6000</v>
      </c>
      <c r="K243" s="62">
        <v>50</v>
      </c>
      <c r="L243" s="62">
        <v>28</v>
      </c>
      <c r="M243" s="84" t="s">
        <v>229</v>
      </c>
      <c r="N243" s="63">
        <f t="shared" ref="N243:N264" si="2">N131*0.96</f>
        <v>157423.67999999999</v>
      </c>
      <c r="O243" s="62" t="s">
        <v>89</v>
      </c>
      <c r="P243" s="62">
        <v>6</v>
      </c>
      <c r="Q243" s="64" t="s">
        <v>198</v>
      </c>
      <c r="R243" s="64" t="s">
        <v>91</v>
      </c>
      <c r="S243" s="64" t="s">
        <v>199</v>
      </c>
      <c r="T243" s="65" t="s">
        <v>92</v>
      </c>
      <c r="U243" s="65" t="s">
        <v>93</v>
      </c>
      <c r="V243" s="62" t="s">
        <v>99</v>
      </c>
      <c r="W243" s="62">
        <v>31</v>
      </c>
      <c r="X243" s="66" t="s">
        <v>95</v>
      </c>
      <c r="Y243" s="66" t="s">
        <v>96</v>
      </c>
      <c r="Z243" s="87">
        <v>6000</v>
      </c>
      <c r="AA243" s="84" t="s">
        <v>208</v>
      </c>
      <c r="AB243" s="87">
        <v>2560</v>
      </c>
      <c r="AC243" s="62" t="s">
        <v>97</v>
      </c>
      <c r="AD243" s="75" t="s">
        <v>97</v>
      </c>
      <c r="AE243" s="35"/>
      <c r="AF243" s="37">
        <f t="shared" ref="AF243:AF264" si="3">AF131*0.96</f>
        <v>148757.75999999998</v>
      </c>
      <c r="AG243" s="29" t="s">
        <v>98</v>
      </c>
      <c r="AH243" s="218">
        <v>14292</v>
      </c>
      <c r="AI243" s="219" t="s">
        <v>229</v>
      </c>
      <c r="AJ243" s="220">
        <v>6000</v>
      </c>
      <c r="AK243" s="220" t="s">
        <v>208</v>
      </c>
      <c r="AL243" s="220">
        <v>2560</v>
      </c>
      <c r="AM243" s="221" t="s">
        <v>99</v>
      </c>
      <c r="AN243" s="40">
        <v>53200</v>
      </c>
      <c r="AO243" s="41" t="s">
        <v>333</v>
      </c>
      <c r="AP243" s="41" t="s">
        <v>334</v>
      </c>
      <c r="AQ243" s="27">
        <v>3000</v>
      </c>
      <c r="AR243" s="27" t="s">
        <v>94</v>
      </c>
      <c r="AS243" s="27">
        <v>900</v>
      </c>
      <c r="AT243" s="29">
        <v>41</v>
      </c>
      <c r="AU243" s="29" t="s">
        <v>100</v>
      </c>
      <c r="AV243" s="31">
        <v>42</v>
      </c>
      <c r="AW243" s="31" t="s">
        <v>100</v>
      </c>
      <c r="AX243" s="209"/>
      <c r="AY243" s="285"/>
      <c r="AZ243" s="285"/>
      <c r="BA243" s="286"/>
      <c r="BB243" s="286"/>
      <c r="BC243" s="44" t="s">
        <v>204</v>
      </c>
      <c r="BD243" s="33" t="s">
        <v>103</v>
      </c>
      <c r="BE243" s="271" t="s">
        <v>104</v>
      </c>
      <c r="BF243" s="271" t="s">
        <v>105</v>
      </c>
      <c r="BG243" s="269">
        <v>0</v>
      </c>
      <c r="BH243" s="42">
        <v>24000</v>
      </c>
      <c r="BI243" s="47" t="s">
        <v>100</v>
      </c>
      <c r="BJ243" s="32" t="s">
        <v>309</v>
      </c>
      <c r="BK243" s="32">
        <v>500</v>
      </c>
      <c r="BL243" s="26" t="s">
        <v>106</v>
      </c>
      <c r="BM243" s="26" t="s">
        <v>107</v>
      </c>
      <c r="BN243" s="209">
        <v>0</v>
      </c>
      <c r="BO243" s="26" t="s">
        <v>108</v>
      </c>
      <c r="BP243" s="34" t="s">
        <v>109</v>
      </c>
      <c r="BQ243" s="209">
        <v>4000</v>
      </c>
      <c r="BR243" s="26" t="s">
        <v>108</v>
      </c>
      <c r="BS243" s="34" t="s">
        <v>110</v>
      </c>
      <c r="BT243" s="209">
        <v>5500</v>
      </c>
      <c r="BU243" s="211">
        <v>11000</v>
      </c>
      <c r="BV243" s="212" t="s">
        <v>100</v>
      </c>
      <c r="BW243" s="212" t="s">
        <v>286</v>
      </c>
      <c r="BX243" s="213" t="s">
        <v>100</v>
      </c>
      <c r="BY243" s="213" t="s">
        <v>100</v>
      </c>
      <c r="BZ243" s="45">
        <v>2000</v>
      </c>
    </row>
    <row r="244" spans="3:78" ht="25.5">
      <c r="C244" s="1"/>
      <c r="D244" s="296"/>
      <c r="E244" s="299"/>
      <c r="F244" s="308"/>
      <c r="G244" s="74">
        <v>315</v>
      </c>
      <c r="H244" s="62">
        <v>250</v>
      </c>
      <c r="I244" s="62">
        <v>6000</v>
      </c>
      <c r="J244" s="62">
        <v>6000</v>
      </c>
      <c r="K244" s="62">
        <v>50</v>
      </c>
      <c r="L244" s="62">
        <v>32</v>
      </c>
      <c r="M244" s="84" t="s">
        <v>229</v>
      </c>
      <c r="N244" s="63">
        <f t="shared" si="2"/>
        <v>161559.35999999999</v>
      </c>
      <c r="O244" s="62" t="s">
        <v>89</v>
      </c>
      <c r="P244" s="62">
        <v>6</v>
      </c>
      <c r="Q244" s="64" t="s">
        <v>198</v>
      </c>
      <c r="R244" s="64" t="s">
        <v>91</v>
      </c>
      <c r="S244" s="64" t="s">
        <v>199</v>
      </c>
      <c r="T244" s="65" t="s">
        <v>92</v>
      </c>
      <c r="U244" s="65" t="s">
        <v>93</v>
      </c>
      <c r="V244" s="62" t="s">
        <v>99</v>
      </c>
      <c r="W244" s="62">
        <v>31</v>
      </c>
      <c r="X244" s="66" t="s">
        <v>95</v>
      </c>
      <c r="Y244" s="66" t="s">
        <v>96</v>
      </c>
      <c r="Z244" s="87">
        <v>6000</v>
      </c>
      <c r="AA244" s="84" t="s">
        <v>208</v>
      </c>
      <c r="AB244" s="87">
        <v>2560</v>
      </c>
      <c r="AC244" s="62" t="s">
        <v>97</v>
      </c>
      <c r="AD244" s="75" t="s">
        <v>97</v>
      </c>
      <c r="AE244" s="35"/>
      <c r="AF244" s="37">
        <f t="shared" si="3"/>
        <v>152665.91999999998</v>
      </c>
      <c r="AG244" s="29" t="s">
        <v>98</v>
      </c>
      <c r="AH244" s="222">
        <v>14668</v>
      </c>
      <c r="AI244" s="223" t="s">
        <v>230</v>
      </c>
      <c r="AJ244" s="224">
        <v>8000</v>
      </c>
      <c r="AK244" s="224" t="s">
        <v>209</v>
      </c>
      <c r="AL244" s="224">
        <v>2960</v>
      </c>
      <c r="AM244" s="225" t="s">
        <v>99</v>
      </c>
      <c r="AN244" s="40">
        <v>53200</v>
      </c>
      <c r="AO244" s="41" t="s">
        <v>333</v>
      </c>
      <c r="AP244" s="41" t="s">
        <v>334</v>
      </c>
      <c r="AQ244" s="27">
        <v>3000</v>
      </c>
      <c r="AR244" s="27" t="s">
        <v>94</v>
      </c>
      <c r="AS244" s="27">
        <v>900</v>
      </c>
      <c r="AT244" s="29">
        <v>41</v>
      </c>
      <c r="AU244" s="29" t="s">
        <v>100</v>
      </c>
      <c r="AV244" s="31">
        <v>42</v>
      </c>
      <c r="AW244" s="31" t="s">
        <v>100</v>
      </c>
      <c r="AX244" s="209"/>
      <c r="AY244" s="285"/>
      <c r="AZ244" s="285"/>
      <c r="BA244" s="286"/>
      <c r="BB244" s="286"/>
      <c r="BC244" s="44" t="s">
        <v>204</v>
      </c>
      <c r="BD244" s="33" t="s">
        <v>103</v>
      </c>
      <c r="BE244" s="271" t="s">
        <v>104</v>
      </c>
      <c r="BF244" s="271" t="s">
        <v>105</v>
      </c>
      <c r="BG244" s="269">
        <v>0</v>
      </c>
      <c r="BH244" s="42">
        <v>24000</v>
      </c>
      <c r="BI244" s="47" t="s">
        <v>100</v>
      </c>
      <c r="BJ244" s="32" t="s">
        <v>309</v>
      </c>
      <c r="BK244" s="32">
        <v>500</v>
      </c>
      <c r="BL244" s="26" t="s">
        <v>106</v>
      </c>
      <c r="BM244" s="26" t="s">
        <v>107</v>
      </c>
      <c r="BN244" s="209">
        <v>0</v>
      </c>
      <c r="BO244" s="26" t="s">
        <v>108</v>
      </c>
      <c r="BP244" s="34" t="s">
        <v>109</v>
      </c>
      <c r="BQ244" s="209">
        <v>4000</v>
      </c>
      <c r="BR244" s="26" t="s">
        <v>108</v>
      </c>
      <c r="BS244" s="34" t="s">
        <v>110</v>
      </c>
      <c r="BT244" s="209">
        <v>5500</v>
      </c>
      <c r="BU244" s="211">
        <v>11000</v>
      </c>
      <c r="BV244" s="212" t="s">
        <v>100</v>
      </c>
      <c r="BW244" s="212" t="s">
        <v>286</v>
      </c>
      <c r="BX244" s="213" t="s">
        <v>100</v>
      </c>
      <c r="BY244" s="213" t="s">
        <v>100</v>
      </c>
      <c r="BZ244" s="45">
        <v>2000</v>
      </c>
    </row>
    <row r="245" spans="3:78" ht="25.5">
      <c r="C245" s="1"/>
      <c r="D245" s="296"/>
      <c r="E245" s="299"/>
      <c r="F245" s="308"/>
      <c r="G245" s="74">
        <v>350</v>
      </c>
      <c r="H245" s="62">
        <v>280</v>
      </c>
      <c r="I245" s="62">
        <v>6000</v>
      </c>
      <c r="J245" s="62">
        <v>6000</v>
      </c>
      <c r="K245" s="62">
        <v>50</v>
      </c>
      <c r="L245" s="62">
        <v>35</v>
      </c>
      <c r="M245" s="84" t="s">
        <v>229</v>
      </c>
      <c r="N245" s="63">
        <f t="shared" si="2"/>
        <v>162478.07999999999</v>
      </c>
      <c r="O245" s="62" t="s">
        <v>89</v>
      </c>
      <c r="P245" s="62">
        <v>6</v>
      </c>
      <c r="Q245" s="64" t="s">
        <v>198</v>
      </c>
      <c r="R245" s="64" t="s">
        <v>91</v>
      </c>
      <c r="S245" s="64" t="s">
        <v>199</v>
      </c>
      <c r="T245" s="65" t="s">
        <v>92</v>
      </c>
      <c r="U245" s="65" t="s">
        <v>93</v>
      </c>
      <c r="V245" s="62" t="s">
        <v>99</v>
      </c>
      <c r="W245" s="62">
        <v>31</v>
      </c>
      <c r="X245" s="66" t="s">
        <v>95</v>
      </c>
      <c r="Y245" s="66" t="s">
        <v>96</v>
      </c>
      <c r="Z245" s="87">
        <v>6000</v>
      </c>
      <c r="AA245" s="84" t="s">
        <v>208</v>
      </c>
      <c r="AB245" s="87">
        <v>2560</v>
      </c>
      <c r="AC245" s="62" t="s">
        <v>97</v>
      </c>
      <c r="AD245" s="75" t="s">
        <v>97</v>
      </c>
      <c r="AE245" s="35"/>
      <c r="AF245" s="37">
        <f t="shared" si="3"/>
        <v>153534.72</v>
      </c>
      <c r="AG245" s="29" t="s">
        <v>98</v>
      </c>
      <c r="AH245" s="226">
        <v>14751</v>
      </c>
      <c r="AI245" s="48" t="s">
        <v>230</v>
      </c>
      <c r="AJ245" s="39">
        <v>8000</v>
      </c>
      <c r="AK245" s="39" t="s">
        <v>209</v>
      </c>
      <c r="AL245" s="39">
        <v>2960</v>
      </c>
      <c r="AM245" s="30" t="s">
        <v>99</v>
      </c>
      <c r="AN245" s="40">
        <v>53200</v>
      </c>
      <c r="AO245" s="41" t="s">
        <v>333</v>
      </c>
      <c r="AP245" s="41" t="s">
        <v>334</v>
      </c>
      <c r="AQ245" s="27">
        <v>3000</v>
      </c>
      <c r="AR245" s="27" t="s">
        <v>94</v>
      </c>
      <c r="AS245" s="27">
        <v>900</v>
      </c>
      <c r="AT245" s="29">
        <v>41</v>
      </c>
      <c r="AU245" s="29" t="s">
        <v>100</v>
      </c>
      <c r="AV245" s="31">
        <v>42</v>
      </c>
      <c r="AW245" s="31" t="s">
        <v>100</v>
      </c>
      <c r="AX245" s="209"/>
      <c r="AY245" s="285"/>
      <c r="AZ245" s="285"/>
      <c r="BA245" s="286"/>
      <c r="BB245" s="286"/>
      <c r="BC245" s="44" t="s">
        <v>204</v>
      </c>
      <c r="BD245" s="33" t="s">
        <v>103</v>
      </c>
      <c r="BE245" s="271" t="s">
        <v>104</v>
      </c>
      <c r="BF245" s="271" t="s">
        <v>105</v>
      </c>
      <c r="BG245" s="269">
        <v>0</v>
      </c>
      <c r="BH245" s="42">
        <v>24000</v>
      </c>
      <c r="BI245" s="47" t="s">
        <v>100</v>
      </c>
      <c r="BJ245" s="32" t="s">
        <v>309</v>
      </c>
      <c r="BK245" s="32">
        <v>500</v>
      </c>
      <c r="BL245" s="26" t="s">
        <v>106</v>
      </c>
      <c r="BM245" s="26" t="s">
        <v>107</v>
      </c>
      <c r="BN245" s="209">
        <v>0</v>
      </c>
      <c r="BO245" s="26" t="s">
        <v>108</v>
      </c>
      <c r="BP245" s="34" t="s">
        <v>109</v>
      </c>
      <c r="BQ245" s="209">
        <v>4000</v>
      </c>
      <c r="BR245" s="26" t="s">
        <v>108</v>
      </c>
      <c r="BS245" s="34" t="s">
        <v>110</v>
      </c>
      <c r="BT245" s="209">
        <v>5500</v>
      </c>
      <c r="BU245" s="211">
        <v>11000</v>
      </c>
      <c r="BV245" s="212" t="s">
        <v>100</v>
      </c>
      <c r="BW245" s="212" t="s">
        <v>286</v>
      </c>
      <c r="BX245" s="213" t="s">
        <v>100</v>
      </c>
      <c r="BY245" s="213" t="s">
        <v>100</v>
      </c>
      <c r="BZ245" s="45">
        <v>2000</v>
      </c>
    </row>
    <row r="246" spans="3:78" ht="25.5">
      <c r="C246" s="1"/>
      <c r="D246" s="296"/>
      <c r="E246" s="299"/>
      <c r="F246" s="308"/>
      <c r="G246" s="74">
        <v>375</v>
      </c>
      <c r="H246" s="62">
        <v>300</v>
      </c>
      <c r="I246" s="62">
        <v>6000</v>
      </c>
      <c r="J246" s="62">
        <v>6000</v>
      </c>
      <c r="K246" s="62">
        <v>50</v>
      </c>
      <c r="L246" s="62">
        <v>38</v>
      </c>
      <c r="M246" s="84" t="s">
        <v>229</v>
      </c>
      <c r="N246" s="63">
        <f t="shared" si="2"/>
        <v>167927.04000000001</v>
      </c>
      <c r="O246" s="62" t="s">
        <v>89</v>
      </c>
      <c r="P246" s="62">
        <v>6</v>
      </c>
      <c r="Q246" s="64" t="s">
        <v>198</v>
      </c>
      <c r="R246" s="64" t="s">
        <v>91</v>
      </c>
      <c r="S246" s="64" t="s">
        <v>199</v>
      </c>
      <c r="T246" s="65" t="s">
        <v>92</v>
      </c>
      <c r="U246" s="65" t="s">
        <v>93</v>
      </c>
      <c r="V246" s="62" t="s">
        <v>99</v>
      </c>
      <c r="W246" s="62">
        <v>31</v>
      </c>
      <c r="X246" s="66" t="s">
        <v>95</v>
      </c>
      <c r="Y246" s="66" t="s">
        <v>96</v>
      </c>
      <c r="Z246" s="87">
        <v>6000</v>
      </c>
      <c r="AA246" s="84" t="s">
        <v>208</v>
      </c>
      <c r="AB246" s="87">
        <v>2560</v>
      </c>
      <c r="AC246" s="62" t="s">
        <v>97</v>
      </c>
      <c r="AD246" s="75" t="s">
        <v>97</v>
      </c>
      <c r="AE246" s="35"/>
      <c r="AF246" s="37">
        <f t="shared" si="3"/>
        <v>158683.19999999998</v>
      </c>
      <c r="AG246" s="29" t="s">
        <v>98</v>
      </c>
      <c r="AH246" s="226">
        <v>15246</v>
      </c>
      <c r="AI246" s="48" t="s">
        <v>230</v>
      </c>
      <c r="AJ246" s="39">
        <v>8000</v>
      </c>
      <c r="AK246" s="39" t="s">
        <v>209</v>
      </c>
      <c r="AL246" s="39">
        <v>2960</v>
      </c>
      <c r="AM246" s="30" t="s">
        <v>99</v>
      </c>
      <c r="AN246" s="40">
        <v>53200</v>
      </c>
      <c r="AO246" s="41" t="s">
        <v>333</v>
      </c>
      <c r="AP246" s="41" t="s">
        <v>334</v>
      </c>
      <c r="AQ246" s="27">
        <v>3000</v>
      </c>
      <c r="AR246" s="27" t="s">
        <v>94</v>
      </c>
      <c r="AS246" s="27">
        <v>900</v>
      </c>
      <c r="AT246" s="29">
        <v>41</v>
      </c>
      <c r="AU246" s="29" t="s">
        <v>100</v>
      </c>
      <c r="AV246" s="31">
        <v>42</v>
      </c>
      <c r="AW246" s="31" t="s">
        <v>100</v>
      </c>
      <c r="AX246" s="209"/>
      <c r="AY246" s="285"/>
      <c r="AZ246" s="285"/>
      <c r="BA246" s="286"/>
      <c r="BB246" s="286"/>
      <c r="BC246" s="44" t="s">
        <v>204</v>
      </c>
      <c r="BD246" s="33" t="s">
        <v>103</v>
      </c>
      <c r="BE246" s="271" t="s">
        <v>104</v>
      </c>
      <c r="BF246" s="271" t="s">
        <v>105</v>
      </c>
      <c r="BG246" s="269">
        <v>0</v>
      </c>
      <c r="BH246" s="42">
        <v>24000</v>
      </c>
      <c r="BI246" s="47" t="s">
        <v>100</v>
      </c>
      <c r="BJ246" s="32" t="s">
        <v>309</v>
      </c>
      <c r="BK246" s="32">
        <v>500</v>
      </c>
      <c r="BL246" s="26" t="s">
        <v>106</v>
      </c>
      <c r="BM246" s="26" t="s">
        <v>107</v>
      </c>
      <c r="BN246" s="209">
        <v>0</v>
      </c>
      <c r="BO246" s="26" t="s">
        <v>108</v>
      </c>
      <c r="BP246" s="34" t="s">
        <v>109</v>
      </c>
      <c r="BQ246" s="209">
        <v>4000</v>
      </c>
      <c r="BR246" s="26" t="s">
        <v>108</v>
      </c>
      <c r="BS246" s="34" t="s">
        <v>110</v>
      </c>
      <c r="BT246" s="209">
        <v>5500</v>
      </c>
      <c r="BU246" s="211">
        <v>11000</v>
      </c>
      <c r="BV246" s="212" t="s">
        <v>100</v>
      </c>
      <c r="BW246" s="212" t="s">
        <v>286</v>
      </c>
      <c r="BX246" s="213" t="s">
        <v>100</v>
      </c>
      <c r="BY246" s="213" t="s">
        <v>100</v>
      </c>
      <c r="BZ246" s="45">
        <v>2000</v>
      </c>
    </row>
    <row r="247" spans="3:78" ht="26.25" thickBot="1">
      <c r="C247" s="1"/>
      <c r="D247" s="296"/>
      <c r="E247" s="299"/>
      <c r="F247" s="308"/>
      <c r="G247" s="76">
        <v>420</v>
      </c>
      <c r="H247" s="77">
        <v>335</v>
      </c>
      <c r="I247" s="77">
        <v>6000</v>
      </c>
      <c r="J247" s="77">
        <v>6000</v>
      </c>
      <c r="K247" s="77">
        <v>50</v>
      </c>
      <c r="L247" s="77">
        <v>42</v>
      </c>
      <c r="M247" s="85" t="s">
        <v>229</v>
      </c>
      <c r="N247" s="78">
        <f t="shared" si="2"/>
        <v>169100.16</v>
      </c>
      <c r="O247" s="77" t="s">
        <v>89</v>
      </c>
      <c r="P247" s="77">
        <v>6</v>
      </c>
      <c r="Q247" s="79" t="s">
        <v>198</v>
      </c>
      <c r="R247" s="79" t="s">
        <v>91</v>
      </c>
      <c r="S247" s="79" t="s">
        <v>199</v>
      </c>
      <c r="T247" s="80" t="s">
        <v>92</v>
      </c>
      <c r="U247" s="80" t="s">
        <v>93</v>
      </c>
      <c r="V247" s="77" t="s">
        <v>99</v>
      </c>
      <c r="W247" s="77">
        <v>31</v>
      </c>
      <c r="X247" s="81" t="s">
        <v>95</v>
      </c>
      <c r="Y247" s="81" t="s">
        <v>96</v>
      </c>
      <c r="Z247" s="88">
        <v>6000</v>
      </c>
      <c r="AA247" s="85" t="s">
        <v>208</v>
      </c>
      <c r="AB247" s="88">
        <v>2560</v>
      </c>
      <c r="AC247" s="77" t="s">
        <v>97</v>
      </c>
      <c r="AD247" s="82" t="s">
        <v>97</v>
      </c>
      <c r="AE247" s="35"/>
      <c r="AF247" s="37">
        <f t="shared" si="3"/>
        <v>159792</v>
      </c>
      <c r="AG247" s="29" t="s">
        <v>98</v>
      </c>
      <c r="AH247" s="226">
        <v>15352</v>
      </c>
      <c r="AI247" s="48" t="s">
        <v>230</v>
      </c>
      <c r="AJ247" s="39">
        <v>8000</v>
      </c>
      <c r="AK247" s="39" t="s">
        <v>209</v>
      </c>
      <c r="AL247" s="39">
        <v>2960</v>
      </c>
      <c r="AM247" s="30" t="s">
        <v>99</v>
      </c>
      <c r="AN247" s="40">
        <v>53200</v>
      </c>
      <c r="AO247" s="41" t="s">
        <v>333</v>
      </c>
      <c r="AP247" s="41" t="s">
        <v>334</v>
      </c>
      <c r="AQ247" s="27">
        <v>3000</v>
      </c>
      <c r="AR247" s="27" t="s">
        <v>94</v>
      </c>
      <c r="AS247" s="27">
        <v>900</v>
      </c>
      <c r="AT247" s="29">
        <v>41</v>
      </c>
      <c r="AU247" s="29" t="s">
        <v>100</v>
      </c>
      <c r="AV247" s="31">
        <v>42</v>
      </c>
      <c r="AW247" s="31" t="s">
        <v>100</v>
      </c>
      <c r="AX247" s="209"/>
      <c r="AY247" s="285"/>
      <c r="AZ247" s="285"/>
      <c r="BA247" s="286"/>
      <c r="BB247" s="286"/>
      <c r="BC247" s="44" t="s">
        <v>204</v>
      </c>
      <c r="BD247" s="33" t="s">
        <v>103</v>
      </c>
      <c r="BE247" s="271" t="s">
        <v>104</v>
      </c>
      <c r="BF247" s="271" t="s">
        <v>105</v>
      </c>
      <c r="BG247" s="269">
        <v>0</v>
      </c>
      <c r="BH247" s="42">
        <v>24000</v>
      </c>
      <c r="BI247" s="47" t="s">
        <v>100</v>
      </c>
      <c r="BJ247" s="32" t="s">
        <v>309</v>
      </c>
      <c r="BK247" s="32">
        <v>500</v>
      </c>
      <c r="BL247" s="26" t="s">
        <v>106</v>
      </c>
      <c r="BM247" s="26" t="s">
        <v>107</v>
      </c>
      <c r="BN247" s="209">
        <v>0</v>
      </c>
      <c r="BO247" s="26" t="s">
        <v>108</v>
      </c>
      <c r="BP247" s="34" t="s">
        <v>109</v>
      </c>
      <c r="BQ247" s="209">
        <v>4000</v>
      </c>
      <c r="BR247" s="26" t="s">
        <v>108</v>
      </c>
      <c r="BS247" s="34" t="s">
        <v>110</v>
      </c>
      <c r="BT247" s="209">
        <v>5500</v>
      </c>
      <c r="BU247" s="211">
        <v>11000</v>
      </c>
      <c r="BV247" s="212" t="s">
        <v>100</v>
      </c>
      <c r="BW247" s="212" t="s">
        <v>286</v>
      </c>
      <c r="BX247" s="213" t="s">
        <v>100</v>
      </c>
      <c r="BY247" s="213" t="s">
        <v>100</v>
      </c>
      <c r="BZ247" s="45">
        <v>2000</v>
      </c>
    </row>
    <row r="248" spans="3:78" ht="25.5">
      <c r="C248" s="1"/>
      <c r="D248" s="296"/>
      <c r="E248" s="299"/>
      <c r="F248" s="308"/>
      <c r="G248" s="67">
        <v>470</v>
      </c>
      <c r="H248" s="68">
        <v>375</v>
      </c>
      <c r="I248" s="68">
        <v>6000</v>
      </c>
      <c r="J248" s="68">
        <v>6000</v>
      </c>
      <c r="K248" s="68">
        <v>50</v>
      </c>
      <c r="L248" s="68">
        <v>47</v>
      </c>
      <c r="M248" s="103" t="s">
        <v>230</v>
      </c>
      <c r="N248" s="69">
        <f t="shared" si="2"/>
        <v>170024.63999999998</v>
      </c>
      <c r="O248" s="68" t="s">
        <v>89</v>
      </c>
      <c r="P248" s="68">
        <v>6</v>
      </c>
      <c r="Q248" s="70" t="s">
        <v>198</v>
      </c>
      <c r="R248" s="70" t="s">
        <v>91</v>
      </c>
      <c r="S248" s="70" t="s">
        <v>199</v>
      </c>
      <c r="T248" s="71" t="s">
        <v>92</v>
      </c>
      <c r="U248" s="71" t="s">
        <v>93</v>
      </c>
      <c r="V248" s="68" t="s">
        <v>99</v>
      </c>
      <c r="W248" s="68">
        <v>31</v>
      </c>
      <c r="X248" s="72" t="s">
        <v>95</v>
      </c>
      <c r="Y248" s="72" t="s">
        <v>96</v>
      </c>
      <c r="Z248" s="104">
        <v>8000</v>
      </c>
      <c r="AA248" s="103" t="s">
        <v>209</v>
      </c>
      <c r="AB248" s="104">
        <v>2960</v>
      </c>
      <c r="AC248" s="68" t="s">
        <v>97</v>
      </c>
      <c r="AD248" s="73" t="s">
        <v>97</v>
      </c>
      <c r="AE248" s="35"/>
      <c r="AF248" s="37">
        <f t="shared" si="3"/>
        <v>160665.60000000001</v>
      </c>
      <c r="AG248" s="29" t="s">
        <v>98</v>
      </c>
      <c r="AH248" s="226">
        <v>15436</v>
      </c>
      <c r="AI248" s="48" t="s">
        <v>230</v>
      </c>
      <c r="AJ248" s="39">
        <v>8000</v>
      </c>
      <c r="AK248" s="39" t="s">
        <v>209</v>
      </c>
      <c r="AL248" s="39">
        <v>2960</v>
      </c>
      <c r="AM248" s="30" t="s">
        <v>99</v>
      </c>
      <c r="AN248" s="40">
        <v>53200</v>
      </c>
      <c r="AO248" s="41" t="s">
        <v>333</v>
      </c>
      <c r="AP248" s="41" t="s">
        <v>334</v>
      </c>
      <c r="AQ248" s="27">
        <v>3000</v>
      </c>
      <c r="AR248" s="27" t="s">
        <v>94</v>
      </c>
      <c r="AS248" s="27">
        <v>900</v>
      </c>
      <c r="AT248" s="29">
        <v>41</v>
      </c>
      <c r="AU248" s="29" t="s">
        <v>100</v>
      </c>
      <c r="AV248" s="31">
        <v>42</v>
      </c>
      <c r="AW248" s="31" t="s">
        <v>100</v>
      </c>
      <c r="AX248" s="209"/>
      <c r="AY248" s="285"/>
      <c r="AZ248" s="285"/>
      <c r="BA248" s="286"/>
      <c r="BB248" s="286"/>
      <c r="BC248" s="44" t="s">
        <v>204</v>
      </c>
      <c r="BD248" s="33" t="s">
        <v>103</v>
      </c>
      <c r="BE248" s="271" t="s">
        <v>104</v>
      </c>
      <c r="BF248" s="271" t="s">
        <v>105</v>
      </c>
      <c r="BG248" s="269">
        <v>0</v>
      </c>
      <c r="BH248" s="42">
        <v>24000</v>
      </c>
      <c r="BI248" s="47" t="s">
        <v>100</v>
      </c>
      <c r="BJ248" s="32" t="s">
        <v>309</v>
      </c>
      <c r="BK248" s="32">
        <v>500</v>
      </c>
      <c r="BL248" s="26" t="s">
        <v>106</v>
      </c>
      <c r="BM248" s="26" t="s">
        <v>107</v>
      </c>
      <c r="BN248" s="209">
        <v>0</v>
      </c>
      <c r="BO248" s="26" t="s">
        <v>108</v>
      </c>
      <c r="BP248" s="34" t="s">
        <v>109</v>
      </c>
      <c r="BQ248" s="209">
        <v>4000</v>
      </c>
      <c r="BR248" s="26" t="s">
        <v>108</v>
      </c>
      <c r="BS248" s="34" t="s">
        <v>110</v>
      </c>
      <c r="BT248" s="209">
        <v>5500</v>
      </c>
      <c r="BU248" s="211">
        <v>11000</v>
      </c>
      <c r="BV248" s="212" t="s">
        <v>100</v>
      </c>
      <c r="BW248" s="212" t="s">
        <v>286</v>
      </c>
      <c r="BX248" s="213" t="s">
        <v>100</v>
      </c>
      <c r="BY248" s="213" t="s">
        <v>100</v>
      </c>
      <c r="BZ248" s="45">
        <v>2000</v>
      </c>
    </row>
    <row r="249" spans="3:78" ht="25.5">
      <c r="C249" s="1"/>
      <c r="D249" s="296"/>
      <c r="E249" s="299"/>
      <c r="F249" s="308"/>
      <c r="G249" s="74">
        <v>500</v>
      </c>
      <c r="H249" s="62">
        <v>400</v>
      </c>
      <c r="I249" s="62">
        <v>6000</v>
      </c>
      <c r="J249" s="62">
        <v>6000</v>
      </c>
      <c r="K249" s="62">
        <v>50</v>
      </c>
      <c r="L249" s="62">
        <v>50</v>
      </c>
      <c r="M249" s="101" t="s">
        <v>230</v>
      </c>
      <c r="N249" s="63">
        <f t="shared" si="2"/>
        <v>170152.32000000001</v>
      </c>
      <c r="O249" s="62" t="s">
        <v>89</v>
      </c>
      <c r="P249" s="62">
        <v>6</v>
      </c>
      <c r="Q249" s="64" t="s">
        <v>198</v>
      </c>
      <c r="R249" s="64" t="s">
        <v>91</v>
      </c>
      <c r="S249" s="64" t="s">
        <v>199</v>
      </c>
      <c r="T249" s="65" t="s">
        <v>92</v>
      </c>
      <c r="U249" s="65" t="s">
        <v>93</v>
      </c>
      <c r="V249" s="62" t="s">
        <v>99</v>
      </c>
      <c r="W249" s="62">
        <v>31</v>
      </c>
      <c r="X249" s="66" t="s">
        <v>95</v>
      </c>
      <c r="Y249" s="66" t="s">
        <v>96</v>
      </c>
      <c r="Z249" s="102">
        <v>8000</v>
      </c>
      <c r="AA249" s="101" t="s">
        <v>209</v>
      </c>
      <c r="AB249" s="102">
        <v>2960</v>
      </c>
      <c r="AC249" s="62" t="s">
        <v>97</v>
      </c>
      <c r="AD249" s="75" t="s">
        <v>97</v>
      </c>
      <c r="AE249" s="35"/>
      <c r="AF249" s="37">
        <f t="shared" si="3"/>
        <v>160786.56</v>
      </c>
      <c r="AG249" s="29" t="s">
        <v>98</v>
      </c>
      <c r="AH249" s="226">
        <v>15448</v>
      </c>
      <c r="AI249" s="48" t="s">
        <v>230</v>
      </c>
      <c r="AJ249" s="39">
        <v>8000</v>
      </c>
      <c r="AK249" s="39" t="s">
        <v>209</v>
      </c>
      <c r="AL249" s="39">
        <v>2960</v>
      </c>
      <c r="AM249" s="30" t="s">
        <v>99</v>
      </c>
      <c r="AN249" s="40">
        <v>53200</v>
      </c>
      <c r="AO249" s="41" t="s">
        <v>333</v>
      </c>
      <c r="AP249" s="41" t="s">
        <v>334</v>
      </c>
      <c r="AQ249" s="27">
        <v>3000</v>
      </c>
      <c r="AR249" s="27" t="s">
        <v>94</v>
      </c>
      <c r="AS249" s="27">
        <v>900</v>
      </c>
      <c r="AT249" s="29">
        <v>41</v>
      </c>
      <c r="AU249" s="29" t="s">
        <v>100</v>
      </c>
      <c r="AV249" s="31">
        <v>42</v>
      </c>
      <c r="AW249" s="31" t="s">
        <v>100</v>
      </c>
      <c r="AX249" s="209"/>
      <c r="AY249" s="285"/>
      <c r="AZ249" s="285"/>
      <c r="BA249" s="286"/>
      <c r="BB249" s="286"/>
      <c r="BC249" s="44" t="s">
        <v>204</v>
      </c>
      <c r="BD249" s="33" t="s">
        <v>103</v>
      </c>
      <c r="BE249" s="271" t="s">
        <v>104</v>
      </c>
      <c r="BF249" s="271" t="s">
        <v>105</v>
      </c>
      <c r="BG249" s="269">
        <v>0</v>
      </c>
      <c r="BH249" s="42">
        <v>24000</v>
      </c>
      <c r="BI249" s="47" t="s">
        <v>100</v>
      </c>
      <c r="BJ249" s="32" t="s">
        <v>309</v>
      </c>
      <c r="BK249" s="32">
        <v>500</v>
      </c>
      <c r="BL249" s="26" t="s">
        <v>106</v>
      </c>
      <c r="BM249" s="26" t="s">
        <v>107</v>
      </c>
      <c r="BN249" s="209">
        <v>0</v>
      </c>
      <c r="BO249" s="26" t="s">
        <v>108</v>
      </c>
      <c r="BP249" s="34" t="s">
        <v>109</v>
      </c>
      <c r="BQ249" s="209">
        <v>4000</v>
      </c>
      <c r="BR249" s="26" t="s">
        <v>108</v>
      </c>
      <c r="BS249" s="34" t="s">
        <v>110</v>
      </c>
      <c r="BT249" s="209">
        <v>5500</v>
      </c>
      <c r="BU249" s="211">
        <v>11000</v>
      </c>
      <c r="BV249" s="212" t="s">
        <v>100</v>
      </c>
      <c r="BW249" s="212" t="s">
        <v>286</v>
      </c>
      <c r="BX249" s="213" t="s">
        <v>100</v>
      </c>
      <c r="BY249" s="213" t="s">
        <v>100</v>
      </c>
      <c r="BZ249" s="45">
        <v>2000</v>
      </c>
    </row>
    <row r="250" spans="3:78" ht="25.5">
      <c r="C250" s="1"/>
      <c r="D250" s="296"/>
      <c r="E250" s="299"/>
      <c r="F250" s="308"/>
      <c r="G250" s="74">
        <v>535</v>
      </c>
      <c r="H250" s="62">
        <v>425</v>
      </c>
      <c r="I250" s="62">
        <v>6000</v>
      </c>
      <c r="J250" s="62">
        <v>6000</v>
      </c>
      <c r="K250" s="62">
        <v>50</v>
      </c>
      <c r="L250" s="62">
        <v>53</v>
      </c>
      <c r="M250" s="101" t="s">
        <v>230</v>
      </c>
      <c r="N250" s="63">
        <f t="shared" si="2"/>
        <v>170849.28</v>
      </c>
      <c r="O250" s="62" t="s">
        <v>89</v>
      </c>
      <c r="P250" s="62">
        <v>6</v>
      </c>
      <c r="Q250" s="64" t="s">
        <v>198</v>
      </c>
      <c r="R250" s="64" t="s">
        <v>91</v>
      </c>
      <c r="S250" s="64" t="s">
        <v>199</v>
      </c>
      <c r="T250" s="65" t="s">
        <v>92</v>
      </c>
      <c r="U250" s="65" t="s">
        <v>93</v>
      </c>
      <c r="V250" s="62" t="s">
        <v>99</v>
      </c>
      <c r="W250" s="62">
        <v>31</v>
      </c>
      <c r="X250" s="66" t="s">
        <v>95</v>
      </c>
      <c r="Y250" s="66" t="s">
        <v>96</v>
      </c>
      <c r="Z250" s="102">
        <v>8000</v>
      </c>
      <c r="AA250" s="101" t="s">
        <v>209</v>
      </c>
      <c r="AB250" s="102">
        <v>2960</v>
      </c>
      <c r="AC250" s="62" t="s">
        <v>97</v>
      </c>
      <c r="AD250" s="75" t="s">
        <v>97</v>
      </c>
      <c r="AE250" s="35"/>
      <c r="AF250" s="37">
        <f t="shared" si="3"/>
        <v>161445.12</v>
      </c>
      <c r="AG250" s="29" t="s">
        <v>98</v>
      </c>
      <c r="AH250" s="226">
        <v>15511</v>
      </c>
      <c r="AI250" s="48" t="s">
        <v>230</v>
      </c>
      <c r="AJ250" s="39">
        <v>8000</v>
      </c>
      <c r="AK250" s="39" t="s">
        <v>209</v>
      </c>
      <c r="AL250" s="39">
        <v>2960</v>
      </c>
      <c r="AM250" s="30" t="s">
        <v>99</v>
      </c>
      <c r="AN250" s="40">
        <v>53200</v>
      </c>
      <c r="AO250" s="41" t="s">
        <v>333</v>
      </c>
      <c r="AP250" s="41" t="s">
        <v>334</v>
      </c>
      <c r="AQ250" s="27">
        <v>3000</v>
      </c>
      <c r="AR250" s="27" t="s">
        <v>94</v>
      </c>
      <c r="AS250" s="27">
        <v>900</v>
      </c>
      <c r="AT250" s="29">
        <v>41</v>
      </c>
      <c r="AU250" s="29" t="s">
        <v>100</v>
      </c>
      <c r="AV250" s="31">
        <v>42</v>
      </c>
      <c r="AW250" s="31" t="s">
        <v>100</v>
      </c>
      <c r="AX250" s="209"/>
      <c r="AY250" s="285"/>
      <c r="AZ250" s="285"/>
      <c r="BA250" s="286"/>
      <c r="BB250" s="286"/>
      <c r="BC250" s="44" t="s">
        <v>204</v>
      </c>
      <c r="BD250" s="33" t="s">
        <v>103</v>
      </c>
      <c r="BE250" s="271" t="s">
        <v>104</v>
      </c>
      <c r="BF250" s="271" t="s">
        <v>105</v>
      </c>
      <c r="BG250" s="269">
        <v>0</v>
      </c>
      <c r="BH250" s="42">
        <v>24000</v>
      </c>
      <c r="BI250" s="47" t="s">
        <v>100</v>
      </c>
      <c r="BJ250" s="32" t="s">
        <v>309</v>
      </c>
      <c r="BK250" s="32">
        <v>500</v>
      </c>
      <c r="BL250" s="26" t="s">
        <v>106</v>
      </c>
      <c r="BM250" s="26" t="s">
        <v>107</v>
      </c>
      <c r="BN250" s="209">
        <v>0</v>
      </c>
      <c r="BO250" s="26" t="s">
        <v>108</v>
      </c>
      <c r="BP250" s="34" t="s">
        <v>109</v>
      </c>
      <c r="BQ250" s="209">
        <v>4000</v>
      </c>
      <c r="BR250" s="26" t="s">
        <v>108</v>
      </c>
      <c r="BS250" s="34" t="s">
        <v>110</v>
      </c>
      <c r="BT250" s="209">
        <v>5500</v>
      </c>
      <c r="BU250" s="211">
        <v>11000</v>
      </c>
      <c r="BV250" s="212" t="s">
        <v>100</v>
      </c>
      <c r="BW250" s="212" t="s">
        <v>286</v>
      </c>
      <c r="BX250" s="213" t="s">
        <v>100</v>
      </c>
      <c r="BY250" s="213" t="s">
        <v>100</v>
      </c>
      <c r="BZ250" s="45">
        <v>2000</v>
      </c>
    </row>
    <row r="251" spans="3:78" ht="89.25" customHeight="1">
      <c r="C251" s="1"/>
      <c r="D251" s="296"/>
      <c r="E251" s="299"/>
      <c r="F251" s="308"/>
      <c r="G251" s="74">
        <v>565</v>
      </c>
      <c r="H251" s="62">
        <v>450</v>
      </c>
      <c r="I251" s="62">
        <v>6000</v>
      </c>
      <c r="J251" s="62">
        <v>6000</v>
      </c>
      <c r="K251" s="62">
        <v>50</v>
      </c>
      <c r="L251" s="62">
        <v>56</v>
      </c>
      <c r="M251" s="101" t="s">
        <v>230</v>
      </c>
      <c r="N251" s="63">
        <f t="shared" si="2"/>
        <v>171131.51999999999</v>
      </c>
      <c r="O251" s="62" t="s">
        <v>89</v>
      </c>
      <c r="P251" s="62">
        <v>6</v>
      </c>
      <c r="Q251" s="64" t="s">
        <v>198</v>
      </c>
      <c r="R251" s="64" t="s">
        <v>91</v>
      </c>
      <c r="S251" s="64" t="s">
        <v>199</v>
      </c>
      <c r="T251" s="65" t="s">
        <v>92</v>
      </c>
      <c r="U251" s="65" t="s">
        <v>93</v>
      </c>
      <c r="V251" s="62" t="s">
        <v>99</v>
      </c>
      <c r="W251" s="62">
        <v>31</v>
      </c>
      <c r="X251" s="66" t="s">
        <v>95</v>
      </c>
      <c r="Y251" s="66" t="s">
        <v>96</v>
      </c>
      <c r="Z251" s="102">
        <v>8000</v>
      </c>
      <c r="AA251" s="101" t="s">
        <v>209</v>
      </c>
      <c r="AB251" s="102">
        <v>2960</v>
      </c>
      <c r="AC251" s="62" t="s">
        <v>97</v>
      </c>
      <c r="AD251" s="75" t="s">
        <v>97</v>
      </c>
      <c r="AE251" s="35"/>
      <c r="AF251" s="37">
        <f t="shared" si="3"/>
        <v>161711.04000000001</v>
      </c>
      <c r="AG251" s="29" t="s">
        <v>98</v>
      </c>
      <c r="AH251" s="226">
        <v>15537</v>
      </c>
      <c r="AI251" s="48" t="s">
        <v>230</v>
      </c>
      <c r="AJ251" s="39">
        <v>8000</v>
      </c>
      <c r="AK251" s="39" t="s">
        <v>209</v>
      </c>
      <c r="AL251" s="39">
        <v>2960</v>
      </c>
      <c r="AM251" s="30" t="s">
        <v>99</v>
      </c>
      <c r="AN251" s="40">
        <v>53200</v>
      </c>
      <c r="AO251" s="41" t="s">
        <v>333</v>
      </c>
      <c r="AP251" s="41" t="s">
        <v>334</v>
      </c>
      <c r="AQ251" s="27">
        <v>3000</v>
      </c>
      <c r="AR251" s="27" t="s">
        <v>94</v>
      </c>
      <c r="AS251" s="27">
        <v>900</v>
      </c>
      <c r="AT251" s="29">
        <v>41</v>
      </c>
      <c r="AU251" s="29" t="s">
        <v>100</v>
      </c>
      <c r="AV251" s="31">
        <v>42</v>
      </c>
      <c r="AW251" s="31" t="s">
        <v>100</v>
      </c>
      <c r="AX251" s="209"/>
      <c r="AY251" s="285"/>
      <c r="AZ251" s="285"/>
      <c r="BA251" s="286"/>
      <c r="BB251" s="286"/>
      <c r="BC251" s="44" t="s">
        <v>204</v>
      </c>
      <c r="BD251" s="33" t="s">
        <v>103</v>
      </c>
      <c r="BE251" s="271" t="s">
        <v>104</v>
      </c>
      <c r="BF251" s="271" t="s">
        <v>105</v>
      </c>
      <c r="BG251" s="269">
        <v>0</v>
      </c>
      <c r="BH251" s="42">
        <v>24000</v>
      </c>
      <c r="BI251" s="47" t="s">
        <v>100</v>
      </c>
      <c r="BJ251" s="32" t="s">
        <v>309</v>
      </c>
      <c r="BK251" s="32">
        <v>500</v>
      </c>
      <c r="BL251" s="26" t="s">
        <v>106</v>
      </c>
      <c r="BM251" s="26" t="s">
        <v>107</v>
      </c>
      <c r="BN251" s="209">
        <v>0</v>
      </c>
      <c r="BO251" s="26" t="s">
        <v>108</v>
      </c>
      <c r="BP251" s="34" t="s">
        <v>109</v>
      </c>
      <c r="BQ251" s="209">
        <v>4000</v>
      </c>
      <c r="BR251" s="26" t="s">
        <v>108</v>
      </c>
      <c r="BS251" s="34" t="s">
        <v>110</v>
      </c>
      <c r="BT251" s="209">
        <v>5500</v>
      </c>
      <c r="BU251" s="211">
        <v>11000</v>
      </c>
      <c r="BV251" s="212" t="s">
        <v>100</v>
      </c>
      <c r="BW251" s="212" t="s">
        <v>286</v>
      </c>
      <c r="BX251" s="213" t="s">
        <v>100</v>
      </c>
      <c r="BY251" s="213" t="s">
        <v>100</v>
      </c>
      <c r="BZ251" s="45">
        <v>2000</v>
      </c>
    </row>
    <row r="252" spans="3:78" ht="25.5">
      <c r="C252" s="1"/>
      <c r="D252" s="296"/>
      <c r="E252" s="299"/>
      <c r="F252" s="308"/>
      <c r="G252" s="74">
        <v>625</v>
      </c>
      <c r="H252" s="62">
        <v>500</v>
      </c>
      <c r="I252" s="62">
        <v>6000</v>
      </c>
      <c r="J252" s="62">
        <v>6000</v>
      </c>
      <c r="K252" s="62">
        <v>50</v>
      </c>
      <c r="L252" s="62">
        <v>63</v>
      </c>
      <c r="M252" s="101" t="s">
        <v>230</v>
      </c>
      <c r="N252" s="63">
        <f t="shared" si="2"/>
        <v>173000.63999999998</v>
      </c>
      <c r="O252" s="62" t="s">
        <v>89</v>
      </c>
      <c r="P252" s="62">
        <v>6</v>
      </c>
      <c r="Q252" s="64" t="s">
        <v>198</v>
      </c>
      <c r="R252" s="64" t="s">
        <v>91</v>
      </c>
      <c r="S252" s="64" t="s">
        <v>199</v>
      </c>
      <c r="T252" s="65" t="s">
        <v>92</v>
      </c>
      <c r="U252" s="65" t="s">
        <v>93</v>
      </c>
      <c r="V252" s="62" t="s">
        <v>99</v>
      </c>
      <c r="W252" s="62">
        <v>31</v>
      </c>
      <c r="X252" s="66" t="s">
        <v>95</v>
      </c>
      <c r="Y252" s="66" t="s">
        <v>96</v>
      </c>
      <c r="Z252" s="102">
        <v>8000</v>
      </c>
      <c r="AA252" s="101" t="s">
        <v>209</v>
      </c>
      <c r="AB252" s="102">
        <v>2960</v>
      </c>
      <c r="AC252" s="62" t="s">
        <v>97</v>
      </c>
      <c r="AD252" s="75" t="s">
        <v>97</v>
      </c>
      <c r="AE252" s="35"/>
      <c r="AF252" s="37">
        <f t="shared" si="3"/>
        <v>163477.44</v>
      </c>
      <c r="AG252" s="29" t="s">
        <v>98</v>
      </c>
      <c r="AH252" s="226">
        <v>15706</v>
      </c>
      <c r="AI252" s="48" t="s">
        <v>230</v>
      </c>
      <c r="AJ252" s="39">
        <v>8000</v>
      </c>
      <c r="AK252" s="39" t="s">
        <v>209</v>
      </c>
      <c r="AL252" s="39">
        <v>2960</v>
      </c>
      <c r="AM252" s="30" t="s">
        <v>99</v>
      </c>
      <c r="AN252" s="40">
        <v>53200</v>
      </c>
      <c r="AO252" s="41" t="s">
        <v>333</v>
      </c>
      <c r="AP252" s="41" t="s">
        <v>334</v>
      </c>
      <c r="AQ252" s="27">
        <v>3000</v>
      </c>
      <c r="AR252" s="27" t="s">
        <v>94</v>
      </c>
      <c r="AS252" s="27">
        <v>900</v>
      </c>
      <c r="AT252" s="29">
        <v>41</v>
      </c>
      <c r="AU252" s="29" t="s">
        <v>100</v>
      </c>
      <c r="AV252" s="31">
        <v>42</v>
      </c>
      <c r="AW252" s="31" t="s">
        <v>100</v>
      </c>
      <c r="AX252" s="209"/>
      <c r="AY252" s="285"/>
      <c r="AZ252" s="285"/>
      <c r="BA252" s="286"/>
      <c r="BB252" s="286"/>
      <c r="BC252" s="44" t="s">
        <v>204</v>
      </c>
      <c r="BD252" s="33" t="s">
        <v>103</v>
      </c>
      <c r="BE252" s="271" t="s">
        <v>104</v>
      </c>
      <c r="BF252" s="271" t="s">
        <v>105</v>
      </c>
      <c r="BG252" s="269">
        <v>0</v>
      </c>
      <c r="BH252" s="42">
        <v>24000</v>
      </c>
      <c r="BI252" s="47" t="s">
        <v>100</v>
      </c>
      <c r="BJ252" s="32" t="s">
        <v>309</v>
      </c>
      <c r="BK252" s="32">
        <v>500</v>
      </c>
      <c r="BL252" s="26" t="s">
        <v>106</v>
      </c>
      <c r="BM252" s="26" t="s">
        <v>107</v>
      </c>
      <c r="BN252" s="209">
        <v>0</v>
      </c>
      <c r="BO252" s="26" t="s">
        <v>108</v>
      </c>
      <c r="BP252" s="34" t="s">
        <v>109</v>
      </c>
      <c r="BQ252" s="209">
        <v>4000</v>
      </c>
      <c r="BR252" s="26" t="s">
        <v>108</v>
      </c>
      <c r="BS252" s="34" t="s">
        <v>110</v>
      </c>
      <c r="BT252" s="209">
        <v>5500</v>
      </c>
      <c r="BU252" s="211">
        <v>11000</v>
      </c>
      <c r="BV252" s="212" t="s">
        <v>100</v>
      </c>
      <c r="BW252" s="212" t="s">
        <v>286</v>
      </c>
      <c r="BX252" s="213" t="s">
        <v>100</v>
      </c>
      <c r="BY252" s="213" t="s">
        <v>100</v>
      </c>
      <c r="BZ252" s="45">
        <v>2000</v>
      </c>
    </row>
    <row r="253" spans="3:78" ht="25.5">
      <c r="C253" s="1"/>
      <c r="D253" s="296"/>
      <c r="E253" s="299"/>
      <c r="F253" s="308"/>
      <c r="G253" s="74">
        <v>665</v>
      </c>
      <c r="H253" s="62">
        <v>530</v>
      </c>
      <c r="I253" s="62">
        <v>6000</v>
      </c>
      <c r="J253" s="62">
        <v>6000</v>
      </c>
      <c r="K253" s="62">
        <v>50</v>
      </c>
      <c r="L253" s="62">
        <v>66</v>
      </c>
      <c r="M253" s="101" t="s">
        <v>230</v>
      </c>
      <c r="N253" s="63">
        <f t="shared" si="2"/>
        <v>182980.8</v>
      </c>
      <c r="O253" s="62" t="s">
        <v>89</v>
      </c>
      <c r="P253" s="62">
        <v>6</v>
      </c>
      <c r="Q253" s="64" t="s">
        <v>198</v>
      </c>
      <c r="R253" s="64" t="s">
        <v>91</v>
      </c>
      <c r="S253" s="64" t="s">
        <v>199</v>
      </c>
      <c r="T253" s="65" t="s">
        <v>92</v>
      </c>
      <c r="U253" s="65" t="s">
        <v>93</v>
      </c>
      <c r="V253" s="62" t="s">
        <v>99</v>
      </c>
      <c r="W253" s="62">
        <v>31</v>
      </c>
      <c r="X253" s="66" t="s">
        <v>95</v>
      </c>
      <c r="Y253" s="66" t="s">
        <v>96</v>
      </c>
      <c r="Z253" s="102">
        <v>8000</v>
      </c>
      <c r="AA253" s="101" t="s">
        <v>209</v>
      </c>
      <c r="AB253" s="102">
        <v>2960</v>
      </c>
      <c r="AC253" s="62" t="s">
        <v>97</v>
      </c>
      <c r="AD253" s="75" t="s">
        <v>97</v>
      </c>
      <c r="AE253" s="35"/>
      <c r="AF253" s="37">
        <f t="shared" si="3"/>
        <v>172908.47999999998</v>
      </c>
      <c r="AG253" s="29" t="s">
        <v>98</v>
      </c>
      <c r="AH253" s="226">
        <v>16612</v>
      </c>
      <c r="AI253" s="48" t="s">
        <v>230</v>
      </c>
      <c r="AJ253" s="39">
        <v>8000</v>
      </c>
      <c r="AK253" s="39" t="s">
        <v>209</v>
      </c>
      <c r="AL253" s="39">
        <v>2960</v>
      </c>
      <c r="AM253" s="30" t="s">
        <v>99</v>
      </c>
      <c r="AN253" s="40">
        <v>53200</v>
      </c>
      <c r="AO253" s="41" t="s">
        <v>333</v>
      </c>
      <c r="AP253" s="41" t="s">
        <v>334</v>
      </c>
      <c r="AQ253" s="27">
        <v>3000</v>
      </c>
      <c r="AR253" s="27" t="s">
        <v>94</v>
      </c>
      <c r="AS253" s="27">
        <v>900</v>
      </c>
      <c r="AT253" s="29">
        <v>41</v>
      </c>
      <c r="AU253" s="29" t="s">
        <v>100</v>
      </c>
      <c r="AV253" s="31">
        <v>42</v>
      </c>
      <c r="AW253" s="31" t="s">
        <v>100</v>
      </c>
      <c r="AX253" s="209"/>
      <c r="AY253" s="285"/>
      <c r="AZ253" s="285"/>
      <c r="BA253" s="286"/>
      <c r="BB253" s="286"/>
      <c r="BC253" s="44" t="s">
        <v>204</v>
      </c>
      <c r="BD253" s="33" t="s">
        <v>103</v>
      </c>
      <c r="BE253" s="271" t="s">
        <v>104</v>
      </c>
      <c r="BF253" s="271" t="s">
        <v>105</v>
      </c>
      <c r="BG253" s="269">
        <v>0</v>
      </c>
      <c r="BH253" s="42">
        <v>24000</v>
      </c>
      <c r="BI253" s="47" t="s">
        <v>100</v>
      </c>
      <c r="BJ253" s="32" t="s">
        <v>309</v>
      </c>
      <c r="BK253" s="32">
        <v>500</v>
      </c>
      <c r="BL253" s="26" t="s">
        <v>106</v>
      </c>
      <c r="BM253" s="26" t="s">
        <v>107</v>
      </c>
      <c r="BN253" s="209">
        <v>0</v>
      </c>
      <c r="BO253" s="26" t="s">
        <v>108</v>
      </c>
      <c r="BP253" s="34" t="s">
        <v>109</v>
      </c>
      <c r="BQ253" s="209">
        <v>4000</v>
      </c>
      <c r="BR253" s="26" t="s">
        <v>108</v>
      </c>
      <c r="BS253" s="34" t="s">
        <v>110</v>
      </c>
      <c r="BT253" s="209">
        <v>5500</v>
      </c>
      <c r="BU253" s="211">
        <v>11000</v>
      </c>
      <c r="BV253" s="212" t="s">
        <v>100</v>
      </c>
      <c r="BW253" s="212" t="s">
        <v>286</v>
      </c>
      <c r="BX253" s="213" t="s">
        <v>100</v>
      </c>
      <c r="BY253" s="213" t="s">
        <v>100</v>
      </c>
      <c r="BZ253" s="45">
        <v>2000</v>
      </c>
    </row>
    <row r="254" spans="3:78" ht="26.25" thickBot="1">
      <c r="C254" s="1"/>
      <c r="D254" s="296"/>
      <c r="E254" s="299"/>
      <c r="F254" s="308"/>
      <c r="G254" s="76">
        <v>700</v>
      </c>
      <c r="H254" s="77">
        <v>560</v>
      </c>
      <c r="I254" s="77">
        <v>6000</v>
      </c>
      <c r="J254" s="77">
        <v>6000</v>
      </c>
      <c r="K254" s="77">
        <v>50</v>
      </c>
      <c r="L254" s="77">
        <v>70</v>
      </c>
      <c r="M254" s="136" t="s">
        <v>230</v>
      </c>
      <c r="N254" s="78">
        <f t="shared" si="2"/>
        <v>183557.75999999998</v>
      </c>
      <c r="O254" s="77" t="s">
        <v>89</v>
      </c>
      <c r="P254" s="77">
        <v>6</v>
      </c>
      <c r="Q254" s="79" t="s">
        <v>198</v>
      </c>
      <c r="R254" s="79" t="s">
        <v>91</v>
      </c>
      <c r="S254" s="79" t="s">
        <v>199</v>
      </c>
      <c r="T254" s="80" t="s">
        <v>92</v>
      </c>
      <c r="U254" s="80" t="s">
        <v>93</v>
      </c>
      <c r="V254" s="77" t="s">
        <v>99</v>
      </c>
      <c r="W254" s="77">
        <v>31</v>
      </c>
      <c r="X254" s="81" t="s">
        <v>95</v>
      </c>
      <c r="Y254" s="81" t="s">
        <v>96</v>
      </c>
      <c r="Z254" s="170">
        <v>8000</v>
      </c>
      <c r="AA254" s="136" t="s">
        <v>209</v>
      </c>
      <c r="AB254" s="170">
        <v>2960</v>
      </c>
      <c r="AC254" s="77" t="s">
        <v>97</v>
      </c>
      <c r="AD254" s="82" t="s">
        <v>97</v>
      </c>
      <c r="AE254" s="35"/>
      <c r="AF254" s="37">
        <f t="shared" si="3"/>
        <v>173453.75999999998</v>
      </c>
      <c r="AG254" s="29" t="s">
        <v>98</v>
      </c>
      <c r="AH254" s="218">
        <v>16665</v>
      </c>
      <c r="AI254" s="219" t="s">
        <v>230</v>
      </c>
      <c r="AJ254" s="220">
        <v>8000</v>
      </c>
      <c r="AK254" s="220" t="s">
        <v>209</v>
      </c>
      <c r="AL254" s="220">
        <v>2960</v>
      </c>
      <c r="AM254" s="221" t="s">
        <v>99</v>
      </c>
      <c r="AN254" s="235">
        <v>53200</v>
      </c>
      <c r="AO254" s="236" t="s">
        <v>333</v>
      </c>
      <c r="AP254" s="236" t="s">
        <v>334</v>
      </c>
      <c r="AQ254" s="237">
        <v>3000</v>
      </c>
      <c r="AR254" s="237" t="s">
        <v>94</v>
      </c>
      <c r="AS254" s="237">
        <v>900</v>
      </c>
      <c r="AT254" s="29">
        <v>41</v>
      </c>
      <c r="AU254" s="29" t="s">
        <v>100</v>
      </c>
      <c r="AV254" s="31">
        <v>42</v>
      </c>
      <c r="AW254" s="31" t="s">
        <v>100</v>
      </c>
      <c r="AX254" s="209"/>
      <c r="AY254" s="285"/>
      <c r="AZ254" s="285"/>
      <c r="BA254" s="286"/>
      <c r="BB254" s="286"/>
      <c r="BC254" s="44" t="s">
        <v>204</v>
      </c>
      <c r="BD254" s="33" t="s">
        <v>103</v>
      </c>
      <c r="BE254" s="271" t="s">
        <v>104</v>
      </c>
      <c r="BF254" s="271" t="s">
        <v>105</v>
      </c>
      <c r="BG254" s="269">
        <v>0</v>
      </c>
      <c r="BH254" s="42">
        <v>24000</v>
      </c>
      <c r="BI254" s="47" t="s">
        <v>100</v>
      </c>
      <c r="BJ254" s="32" t="s">
        <v>309</v>
      </c>
      <c r="BK254" s="32">
        <v>500</v>
      </c>
      <c r="BL254" s="26" t="s">
        <v>106</v>
      </c>
      <c r="BM254" s="26" t="s">
        <v>107</v>
      </c>
      <c r="BN254" s="209">
        <v>0</v>
      </c>
      <c r="BO254" s="26" t="s">
        <v>108</v>
      </c>
      <c r="BP254" s="34" t="s">
        <v>109</v>
      </c>
      <c r="BQ254" s="209">
        <v>4000</v>
      </c>
      <c r="BR254" s="26" t="s">
        <v>108</v>
      </c>
      <c r="BS254" s="34" t="s">
        <v>110</v>
      </c>
      <c r="BT254" s="209">
        <v>5500</v>
      </c>
      <c r="BU254" s="211">
        <v>11000</v>
      </c>
      <c r="BV254" s="212" t="s">
        <v>100</v>
      </c>
      <c r="BW254" s="212" t="s">
        <v>286</v>
      </c>
      <c r="BX254" s="213" t="s">
        <v>100</v>
      </c>
      <c r="BY254" s="213" t="s">
        <v>100</v>
      </c>
      <c r="BZ254" s="45">
        <v>2000</v>
      </c>
    </row>
    <row r="255" spans="3:78" ht="25.5">
      <c r="C255" s="1"/>
      <c r="D255" s="296"/>
      <c r="E255" s="299"/>
      <c r="F255" s="308"/>
      <c r="G255" s="67">
        <v>750</v>
      </c>
      <c r="H255" s="68">
        <v>600</v>
      </c>
      <c r="I255" s="68">
        <v>6000</v>
      </c>
      <c r="J255" s="68">
        <v>6000</v>
      </c>
      <c r="K255" s="68">
        <v>50</v>
      </c>
      <c r="L255" s="68">
        <v>75</v>
      </c>
      <c r="M255" s="83" t="s">
        <v>231</v>
      </c>
      <c r="N255" s="69">
        <f t="shared" si="2"/>
        <v>188342.39999999999</v>
      </c>
      <c r="O255" s="68" t="s">
        <v>89</v>
      </c>
      <c r="P255" s="68">
        <v>6</v>
      </c>
      <c r="Q255" s="70" t="s">
        <v>198</v>
      </c>
      <c r="R255" s="70" t="s">
        <v>91</v>
      </c>
      <c r="S255" s="70" t="s">
        <v>199</v>
      </c>
      <c r="T255" s="71" t="s">
        <v>92</v>
      </c>
      <c r="U255" s="71" t="s">
        <v>93</v>
      </c>
      <c r="V255" s="68" t="s">
        <v>99</v>
      </c>
      <c r="W255" s="68">
        <v>31</v>
      </c>
      <c r="X255" s="72" t="s">
        <v>95</v>
      </c>
      <c r="Y255" s="72" t="s">
        <v>96</v>
      </c>
      <c r="Z255" s="86">
        <v>12000</v>
      </c>
      <c r="AA255" s="83" t="s">
        <v>202</v>
      </c>
      <c r="AB255" s="86">
        <v>3960</v>
      </c>
      <c r="AC255" s="68" t="s">
        <v>97</v>
      </c>
      <c r="AD255" s="73" t="s">
        <v>97</v>
      </c>
      <c r="AE255" s="35"/>
      <c r="AF255" s="37">
        <f t="shared" si="3"/>
        <v>177975.36</v>
      </c>
      <c r="AG255" s="29" t="s">
        <v>98</v>
      </c>
      <c r="AH255" s="222">
        <v>17099</v>
      </c>
      <c r="AI255" s="223" t="s">
        <v>231</v>
      </c>
      <c r="AJ255" s="224">
        <v>12000</v>
      </c>
      <c r="AK255" s="224" t="s">
        <v>202</v>
      </c>
      <c r="AL255" s="224">
        <v>3960</v>
      </c>
      <c r="AM255" s="225" t="s">
        <v>99</v>
      </c>
      <c r="AN255" s="232">
        <v>53200</v>
      </c>
      <c r="AO255" s="233" t="s">
        <v>331</v>
      </c>
      <c r="AP255" s="233" t="s">
        <v>332</v>
      </c>
      <c r="AQ255" s="234">
        <v>3000</v>
      </c>
      <c r="AR255" s="234" t="s">
        <v>94</v>
      </c>
      <c r="AS255" s="234">
        <v>900</v>
      </c>
      <c r="AT255" s="29">
        <v>41</v>
      </c>
      <c r="AU255" s="29" t="s">
        <v>100</v>
      </c>
      <c r="AV255" s="31">
        <v>42</v>
      </c>
      <c r="AW255" s="31" t="s">
        <v>100</v>
      </c>
      <c r="AX255" s="209"/>
      <c r="AY255" s="285"/>
      <c r="AZ255" s="285"/>
      <c r="BA255" s="286"/>
      <c r="BB255" s="286"/>
      <c r="BC255" s="44" t="s">
        <v>204</v>
      </c>
      <c r="BD255" s="33" t="s">
        <v>103</v>
      </c>
      <c r="BE255" s="271" t="s">
        <v>104</v>
      </c>
      <c r="BF255" s="271" t="s">
        <v>105</v>
      </c>
      <c r="BG255" s="269">
        <v>0</v>
      </c>
      <c r="BH255" s="42">
        <v>24000</v>
      </c>
      <c r="BI255" s="47" t="s">
        <v>100</v>
      </c>
      <c r="BJ255" s="32" t="s">
        <v>101</v>
      </c>
      <c r="BK255" s="32" t="s">
        <v>100</v>
      </c>
      <c r="BL255" s="26" t="s">
        <v>106</v>
      </c>
      <c r="BM255" s="26" t="s">
        <v>107</v>
      </c>
      <c r="BN255" s="209">
        <v>0</v>
      </c>
      <c r="BO255" s="26" t="s">
        <v>108</v>
      </c>
      <c r="BP255" s="34" t="s">
        <v>109</v>
      </c>
      <c r="BQ255" s="209">
        <v>4000</v>
      </c>
      <c r="BR255" s="26" t="s">
        <v>108</v>
      </c>
      <c r="BS255" s="34" t="s">
        <v>110</v>
      </c>
      <c r="BT255" s="209">
        <v>5500</v>
      </c>
      <c r="BU255" s="211">
        <v>11000</v>
      </c>
      <c r="BV255" s="212" t="s">
        <v>100</v>
      </c>
      <c r="BW255" s="212" t="s">
        <v>286</v>
      </c>
      <c r="BX255" s="213" t="s">
        <v>100</v>
      </c>
      <c r="BY255" s="213" t="s">
        <v>100</v>
      </c>
      <c r="BZ255" s="45">
        <v>2000</v>
      </c>
    </row>
    <row r="256" spans="3:78" ht="25.5">
      <c r="C256" s="1"/>
      <c r="D256" s="296"/>
      <c r="E256" s="299"/>
      <c r="F256" s="308"/>
      <c r="G256" s="74">
        <v>840</v>
      </c>
      <c r="H256" s="62">
        <v>670</v>
      </c>
      <c r="I256" s="62">
        <v>6000</v>
      </c>
      <c r="J256" s="62">
        <v>6000</v>
      </c>
      <c r="K256" s="62">
        <v>50</v>
      </c>
      <c r="L256" s="62">
        <v>84</v>
      </c>
      <c r="M256" s="84" t="s">
        <v>231</v>
      </c>
      <c r="N256" s="63">
        <f t="shared" si="2"/>
        <v>193704</v>
      </c>
      <c r="O256" s="62" t="s">
        <v>89</v>
      </c>
      <c r="P256" s="62">
        <v>6</v>
      </c>
      <c r="Q256" s="64" t="s">
        <v>198</v>
      </c>
      <c r="R256" s="64" t="s">
        <v>91</v>
      </c>
      <c r="S256" s="64" t="s">
        <v>199</v>
      </c>
      <c r="T256" s="65" t="s">
        <v>92</v>
      </c>
      <c r="U256" s="65" t="s">
        <v>93</v>
      </c>
      <c r="V256" s="62" t="s">
        <v>99</v>
      </c>
      <c r="W256" s="62">
        <v>31</v>
      </c>
      <c r="X256" s="66" t="s">
        <v>95</v>
      </c>
      <c r="Y256" s="66" t="s">
        <v>96</v>
      </c>
      <c r="Z256" s="87">
        <v>12000</v>
      </c>
      <c r="AA256" s="84" t="s">
        <v>202</v>
      </c>
      <c r="AB256" s="87">
        <v>3960</v>
      </c>
      <c r="AC256" s="62" t="s">
        <v>97</v>
      </c>
      <c r="AD256" s="75" t="s">
        <v>97</v>
      </c>
      <c r="AE256" s="35"/>
      <c r="AF256" s="37">
        <f t="shared" si="3"/>
        <v>183041.28</v>
      </c>
      <c r="AG256" s="29" t="s">
        <v>98</v>
      </c>
      <c r="AH256" s="226">
        <v>17586</v>
      </c>
      <c r="AI256" s="48" t="s">
        <v>231</v>
      </c>
      <c r="AJ256" s="39">
        <v>12000</v>
      </c>
      <c r="AK256" s="39" t="s">
        <v>202</v>
      </c>
      <c r="AL256" s="39">
        <v>3960</v>
      </c>
      <c r="AM256" s="30" t="s">
        <v>99</v>
      </c>
      <c r="AN256" s="40">
        <v>53200</v>
      </c>
      <c r="AO256" s="41" t="s">
        <v>331</v>
      </c>
      <c r="AP256" s="41" t="s">
        <v>332</v>
      </c>
      <c r="AQ256" s="27">
        <v>3000</v>
      </c>
      <c r="AR256" s="27" t="s">
        <v>94</v>
      </c>
      <c r="AS256" s="27">
        <v>900</v>
      </c>
      <c r="AT256" s="29">
        <v>41</v>
      </c>
      <c r="AU256" s="29" t="s">
        <v>100</v>
      </c>
      <c r="AV256" s="31">
        <v>42</v>
      </c>
      <c r="AW256" s="31" t="s">
        <v>100</v>
      </c>
      <c r="AX256" s="209"/>
      <c r="AY256" s="285"/>
      <c r="AZ256" s="285"/>
      <c r="BA256" s="286"/>
      <c r="BB256" s="286"/>
      <c r="BC256" s="44" t="s">
        <v>204</v>
      </c>
      <c r="BD256" s="33" t="s">
        <v>103</v>
      </c>
      <c r="BE256" s="271" t="s">
        <v>104</v>
      </c>
      <c r="BF256" s="271" t="s">
        <v>105</v>
      </c>
      <c r="BG256" s="269">
        <v>0</v>
      </c>
      <c r="BH256" s="42">
        <v>24000</v>
      </c>
      <c r="BI256" s="47" t="s">
        <v>100</v>
      </c>
      <c r="BJ256" s="32" t="s">
        <v>101</v>
      </c>
      <c r="BK256" s="32" t="s">
        <v>100</v>
      </c>
      <c r="BL256" s="26" t="s">
        <v>106</v>
      </c>
      <c r="BM256" s="26" t="s">
        <v>107</v>
      </c>
      <c r="BN256" s="209">
        <v>0</v>
      </c>
      <c r="BO256" s="26" t="s">
        <v>108</v>
      </c>
      <c r="BP256" s="34" t="s">
        <v>109</v>
      </c>
      <c r="BQ256" s="209">
        <v>4000</v>
      </c>
      <c r="BR256" s="26" t="s">
        <v>108</v>
      </c>
      <c r="BS256" s="34" t="s">
        <v>110</v>
      </c>
      <c r="BT256" s="209">
        <v>5500</v>
      </c>
      <c r="BU256" s="211">
        <v>11000</v>
      </c>
      <c r="BV256" s="212" t="s">
        <v>100</v>
      </c>
      <c r="BW256" s="212" t="s">
        <v>286</v>
      </c>
      <c r="BX256" s="213" t="s">
        <v>100</v>
      </c>
      <c r="BY256" s="213" t="s">
        <v>100</v>
      </c>
      <c r="BZ256" s="45">
        <v>2000</v>
      </c>
    </row>
    <row r="257" spans="3:78" ht="25.5">
      <c r="C257" s="1"/>
      <c r="D257" s="296"/>
      <c r="E257" s="299"/>
      <c r="F257" s="308"/>
      <c r="G257" s="74">
        <v>890</v>
      </c>
      <c r="H257" s="62">
        <v>710</v>
      </c>
      <c r="I257" s="62">
        <v>6000</v>
      </c>
      <c r="J257" s="62">
        <v>6000</v>
      </c>
      <c r="K257" s="62">
        <v>50</v>
      </c>
      <c r="L257" s="62">
        <v>88</v>
      </c>
      <c r="M257" s="84" t="s">
        <v>231</v>
      </c>
      <c r="N257" s="63">
        <f t="shared" si="2"/>
        <v>194731.19999999998</v>
      </c>
      <c r="O257" s="62" t="s">
        <v>89</v>
      </c>
      <c r="P257" s="62">
        <v>6</v>
      </c>
      <c r="Q257" s="64" t="s">
        <v>198</v>
      </c>
      <c r="R257" s="64" t="s">
        <v>91</v>
      </c>
      <c r="S257" s="64" t="s">
        <v>199</v>
      </c>
      <c r="T257" s="65" t="s">
        <v>92</v>
      </c>
      <c r="U257" s="65" t="s">
        <v>93</v>
      </c>
      <c r="V257" s="62" t="s">
        <v>99</v>
      </c>
      <c r="W257" s="62">
        <v>31</v>
      </c>
      <c r="X257" s="66" t="s">
        <v>95</v>
      </c>
      <c r="Y257" s="66" t="s">
        <v>96</v>
      </c>
      <c r="Z257" s="87">
        <v>12000</v>
      </c>
      <c r="AA257" s="84" t="s">
        <v>202</v>
      </c>
      <c r="AB257" s="87">
        <v>3960</v>
      </c>
      <c r="AC257" s="62" t="s">
        <v>97</v>
      </c>
      <c r="AD257" s="75" t="s">
        <v>97</v>
      </c>
      <c r="AE257" s="35"/>
      <c r="AF257" s="37">
        <f t="shared" si="3"/>
        <v>184011.84</v>
      </c>
      <c r="AG257" s="29" t="s">
        <v>98</v>
      </c>
      <c r="AH257" s="226">
        <v>17679</v>
      </c>
      <c r="AI257" s="48" t="s">
        <v>231</v>
      </c>
      <c r="AJ257" s="39">
        <v>12000</v>
      </c>
      <c r="AK257" s="39" t="s">
        <v>202</v>
      </c>
      <c r="AL257" s="39">
        <v>3960</v>
      </c>
      <c r="AM257" s="30" t="s">
        <v>99</v>
      </c>
      <c r="AN257" s="40">
        <v>53200</v>
      </c>
      <c r="AO257" s="41" t="s">
        <v>331</v>
      </c>
      <c r="AP257" s="41" t="s">
        <v>332</v>
      </c>
      <c r="AQ257" s="27">
        <v>3000</v>
      </c>
      <c r="AR257" s="27" t="s">
        <v>94</v>
      </c>
      <c r="AS257" s="27">
        <v>900</v>
      </c>
      <c r="AT257" s="29">
        <v>41</v>
      </c>
      <c r="AU257" s="29" t="s">
        <v>100</v>
      </c>
      <c r="AV257" s="31">
        <v>42</v>
      </c>
      <c r="AW257" s="31" t="s">
        <v>100</v>
      </c>
      <c r="AX257" s="209"/>
      <c r="AY257" s="285"/>
      <c r="AZ257" s="285"/>
      <c r="BA257" s="286"/>
      <c r="BB257" s="286"/>
      <c r="BC257" s="44" t="s">
        <v>204</v>
      </c>
      <c r="BD257" s="33" t="s">
        <v>103</v>
      </c>
      <c r="BE257" s="271" t="s">
        <v>104</v>
      </c>
      <c r="BF257" s="271" t="s">
        <v>105</v>
      </c>
      <c r="BG257" s="269">
        <v>0</v>
      </c>
      <c r="BH257" s="42">
        <v>24000</v>
      </c>
      <c r="BI257" s="47" t="s">
        <v>100</v>
      </c>
      <c r="BJ257" s="32" t="s">
        <v>101</v>
      </c>
      <c r="BK257" s="32" t="s">
        <v>100</v>
      </c>
      <c r="BL257" s="26" t="s">
        <v>106</v>
      </c>
      <c r="BM257" s="26" t="s">
        <v>107</v>
      </c>
      <c r="BN257" s="209">
        <v>0</v>
      </c>
      <c r="BO257" s="26" t="s">
        <v>108</v>
      </c>
      <c r="BP257" s="34" t="s">
        <v>109</v>
      </c>
      <c r="BQ257" s="209">
        <v>4000</v>
      </c>
      <c r="BR257" s="26" t="s">
        <v>108</v>
      </c>
      <c r="BS257" s="34" t="s">
        <v>110</v>
      </c>
      <c r="BT257" s="209">
        <v>5500</v>
      </c>
      <c r="BU257" s="211">
        <v>11000</v>
      </c>
      <c r="BV257" s="212" t="s">
        <v>100</v>
      </c>
      <c r="BW257" s="212" t="s">
        <v>286</v>
      </c>
      <c r="BX257" s="213" t="s">
        <v>100</v>
      </c>
      <c r="BY257" s="213" t="s">
        <v>100</v>
      </c>
      <c r="BZ257" s="45">
        <v>2000</v>
      </c>
    </row>
    <row r="258" spans="3:78" ht="25.5">
      <c r="C258" s="1"/>
      <c r="D258" s="296"/>
      <c r="E258" s="299"/>
      <c r="F258" s="308"/>
      <c r="G258" s="74">
        <v>940</v>
      </c>
      <c r="H258" s="62">
        <v>750</v>
      </c>
      <c r="I258" s="62">
        <v>6000</v>
      </c>
      <c r="J258" s="62">
        <v>6000</v>
      </c>
      <c r="K258" s="62">
        <v>50</v>
      </c>
      <c r="L258" s="62">
        <v>94</v>
      </c>
      <c r="M258" s="84" t="s">
        <v>231</v>
      </c>
      <c r="N258" s="63">
        <f t="shared" si="2"/>
        <v>197726.4</v>
      </c>
      <c r="O258" s="62" t="s">
        <v>89</v>
      </c>
      <c r="P258" s="62">
        <v>6</v>
      </c>
      <c r="Q258" s="64" t="s">
        <v>198</v>
      </c>
      <c r="R258" s="64" t="s">
        <v>91</v>
      </c>
      <c r="S258" s="64" t="s">
        <v>199</v>
      </c>
      <c r="T258" s="65" t="s">
        <v>92</v>
      </c>
      <c r="U258" s="65" t="s">
        <v>93</v>
      </c>
      <c r="V258" s="62" t="s">
        <v>99</v>
      </c>
      <c r="W258" s="62">
        <v>31</v>
      </c>
      <c r="X258" s="66" t="s">
        <v>95</v>
      </c>
      <c r="Y258" s="66" t="s">
        <v>96</v>
      </c>
      <c r="Z258" s="87">
        <v>12000</v>
      </c>
      <c r="AA258" s="84" t="s">
        <v>202</v>
      </c>
      <c r="AB258" s="87">
        <v>3960</v>
      </c>
      <c r="AC258" s="62" t="s">
        <v>97</v>
      </c>
      <c r="AD258" s="75" t="s">
        <v>97</v>
      </c>
      <c r="AE258" s="35"/>
      <c r="AF258" s="37">
        <f t="shared" si="3"/>
        <v>186841.91999999998</v>
      </c>
      <c r="AG258" s="29" t="s">
        <v>98</v>
      </c>
      <c r="AH258" s="226">
        <v>17951</v>
      </c>
      <c r="AI258" s="48" t="s">
        <v>231</v>
      </c>
      <c r="AJ258" s="39">
        <v>12000</v>
      </c>
      <c r="AK258" s="39" t="s">
        <v>202</v>
      </c>
      <c r="AL258" s="39">
        <v>3960</v>
      </c>
      <c r="AM258" s="30" t="s">
        <v>99</v>
      </c>
      <c r="AN258" s="40">
        <v>53200</v>
      </c>
      <c r="AO258" s="41" t="s">
        <v>331</v>
      </c>
      <c r="AP258" s="41" t="s">
        <v>332</v>
      </c>
      <c r="AQ258" s="27">
        <v>3000</v>
      </c>
      <c r="AR258" s="27" t="s">
        <v>94</v>
      </c>
      <c r="AS258" s="27">
        <v>900</v>
      </c>
      <c r="AT258" s="29">
        <v>41</v>
      </c>
      <c r="AU258" s="29" t="s">
        <v>100</v>
      </c>
      <c r="AV258" s="31">
        <v>42</v>
      </c>
      <c r="AW258" s="31" t="s">
        <v>100</v>
      </c>
      <c r="AX258" s="209"/>
      <c r="AY258" s="285"/>
      <c r="AZ258" s="285"/>
      <c r="BA258" s="286"/>
      <c r="BB258" s="286"/>
      <c r="BC258" s="44" t="s">
        <v>204</v>
      </c>
      <c r="BD258" s="33" t="s">
        <v>103</v>
      </c>
      <c r="BE258" s="271" t="s">
        <v>104</v>
      </c>
      <c r="BF258" s="271" t="s">
        <v>105</v>
      </c>
      <c r="BG258" s="269">
        <v>0</v>
      </c>
      <c r="BH258" s="42">
        <v>24000</v>
      </c>
      <c r="BI258" s="47" t="s">
        <v>100</v>
      </c>
      <c r="BJ258" s="32" t="s">
        <v>101</v>
      </c>
      <c r="BK258" s="32" t="s">
        <v>100</v>
      </c>
      <c r="BL258" s="26" t="s">
        <v>106</v>
      </c>
      <c r="BM258" s="26" t="s">
        <v>107</v>
      </c>
      <c r="BN258" s="209">
        <v>0</v>
      </c>
      <c r="BO258" s="26" t="s">
        <v>108</v>
      </c>
      <c r="BP258" s="34" t="s">
        <v>109</v>
      </c>
      <c r="BQ258" s="209">
        <v>4000</v>
      </c>
      <c r="BR258" s="26" t="s">
        <v>108</v>
      </c>
      <c r="BS258" s="34" t="s">
        <v>110</v>
      </c>
      <c r="BT258" s="209">
        <v>5500</v>
      </c>
      <c r="BU258" s="211">
        <v>11000</v>
      </c>
      <c r="BV258" s="212" t="s">
        <v>100</v>
      </c>
      <c r="BW258" s="212" t="s">
        <v>286</v>
      </c>
      <c r="BX258" s="213" t="s">
        <v>100</v>
      </c>
      <c r="BY258" s="213" t="s">
        <v>100</v>
      </c>
      <c r="BZ258" s="45">
        <v>2000</v>
      </c>
    </row>
    <row r="259" spans="3:78" ht="26.25" thickBot="1">
      <c r="C259" s="1"/>
      <c r="D259" s="296"/>
      <c r="E259" s="299"/>
      <c r="F259" s="308"/>
      <c r="G259" s="175">
        <v>1000</v>
      </c>
      <c r="H259" s="77">
        <v>800</v>
      </c>
      <c r="I259" s="77">
        <v>6000</v>
      </c>
      <c r="J259" s="77">
        <v>6000</v>
      </c>
      <c r="K259" s="77">
        <v>50</v>
      </c>
      <c r="L259" s="77">
        <v>96</v>
      </c>
      <c r="M259" s="85" t="s">
        <v>231</v>
      </c>
      <c r="N259" s="78">
        <f t="shared" si="2"/>
        <v>198818.88</v>
      </c>
      <c r="O259" s="77" t="s">
        <v>89</v>
      </c>
      <c r="P259" s="77">
        <v>6</v>
      </c>
      <c r="Q259" s="79" t="s">
        <v>198</v>
      </c>
      <c r="R259" s="79" t="s">
        <v>91</v>
      </c>
      <c r="S259" s="79" t="s">
        <v>199</v>
      </c>
      <c r="T259" s="80" t="s">
        <v>92</v>
      </c>
      <c r="U259" s="80" t="s">
        <v>93</v>
      </c>
      <c r="V259" s="77" t="s">
        <v>99</v>
      </c>
      <c r="W259" s="77">
        <v>31</v>
      </c>
      <c r="X259" s="81" t="s">
        <v>95</v>
      </c>
      <c r="Y259" s="81" t="s">
        <v>96</v>
      </c>
      <c r="Z259" s="88">
        <v>12000</v>
      </c>
      <c r="AA259" s="85" t="s">
        <v>202</v>
      </c>
      <c r="AB259" s="88">
        <v>3960</v>
      </c>
      <c r="AC259" s="77" t="s">
        <v>97</v>
      </c>
      <c r="AD259" s="82" t="s">
        <v>97</v>
      </c>
      <c r="AE259" s="35"/>
      <c r="AF259" s="37">
        <f t="shared" si="3"/>
        <v>187874.88</v>
      </c>
      <c r="AG259" s="29" t="s">
        <v>98</v>
      </c>
      <c r="AH259" s="218">
        <v>18050</v>
      </c>
      <c r="AI259" s="219" t="s">
        <v>231</v>
      </c>
      <c r="AJ259" s="220">
        <v>12000</v>
      </c>
      <c r="AK259" s="220" t="s">
        <v>202</v>
      </c>
      <c r="AL259" s="220">
        <v>3960</v>
      </c>
      <c r="AM259" s="221" t="s">
        <v>99</v>
      </c>
      <c r="AN259" s="40">
        <v>53200</v>
      </c>
      <c r="AO259" s="41" t="s">
        <v>331</v>
      </c>
      <c r="AP259" s="41" t="s">
        <v>332</v>
      </c>
      <c r="AQ259" s="27">
        <v>3000</v>
      </c>
      <c r="AR259" s="27" t="s">
        <v>94</v>
      </c>
      <c r="AS259" s="27">
        <v>900</v>
      </c>
      <c r="AT259" s="29">
        <v>41</v>
      </c>
      <c r="AU259" s="29" t="s">
        <v>100</v>
      </c>
      <c r="AV259" s="31">
        <v>42</v>
      </c>
      <c r="AW259" s="31" t="s">
        <v>100</v>
      </c>
      <c r="AX259" s="209"/>
      <c r="AY259" s="285"/>
      <c r="AZ259" s="285"/>
      <c r="BA259" s="286"/>
      <c r="BB259" s="286"/>
      <c r="BC259" s="44" t="s">
        <v>204</v>
      </c>
      <c r="BD259" s="33" t="s">
        <v>103</v>
      </c>
      <c r="BE259" s="271" t="s">
        <v>104</v>
      </c>
      <c r="BF259" s="271" t="s">
        <v>105</v>
      </c>
      <c r="BG259" s="269">
        <v>0</v>
      </c>
      <c r="BH259" s="42">
        <v>27000</v>
      </c>
      <c r="BI259" s="47" t="s">
        <v>100</v>
      </c>
      <c r="BJ259" s="32" t="s">
        <v>101</v>
      </c>
      <c r="BK259" s="32" t="s">
        <v>100</v>
      </c>
      <c r="BL259" s="26" t="s">
        <v>106</v>
      </c>
      <c r="BM259" s="26" t="s">
        <v>107</v>
      </c>
      <c r="BN259" s="209">
        <v>0</v>
      </c>
      <c r="BO259" s="26" t="s">
        <v>108</v>
      </c>
      <c r="BP259" s="34" t="s">
        <v>109</v>
      </c>
      <c r="BQ259" s="209">
        <v>4000</v>
      </c>
      <c r="BR259" s="26" t="s">
        <v>108</v>
      </c>
      <c r="BS259" s="34" t="s">
        <v>110</v>
      </c>
      <c r="BT259" s="209">
        <v>5500</v>
      </c>
      <c r="BU259" s="211">
        <v>11000</v>
      </c>
      <c r="BV259" s="212" t="s">
        <v>100</v>
      </c>
      <c r="BW259" s="212" t="s">
        <v>286</v>
      </c>
      <c r="BX259" s="213" t="s">
        <v>100</v>
      </c>
      <c r="BY259" s="213" t="s">
        <v>100</v>
      </c>
      <c r="BZ259" s="45">
        <v>2000</v>
      </c>
    </row>
    <row r="260" spans="3:78" ht="25.5">
      <c r="C260" s="1"/>
      <c r="D260" s="296"/>
      <c r="E260" s="299"/>
      <c r="F260" s="308"/>
      <c r="G260" s="178">
        <v>1125</v>
      </c>
      <c r="H260" s="68">
        <v>900</v>
      </c>
      <c r="I260" s="68">
        <v>6000</v>
      </c>
      <c r="J260" s="68">
        <v>6000</v>
      </c>
      <c r="K260" s="68">
        <v>50</v>
      </c>
      <c r="L260" s="68">
        <v>110</v>
      </c>
      <c r="M260" s="103" t="s">
        <v>232</v>
      </c>
      <c r="N260" s="69">
        <f t="shared" si="2"/>
        <v>220836.47999999998</v>
      </c>
      <c r="O260" s="68" t="s">
        <v>89</v>
      </c>
      <c r="P260" s="68">
        <v>6</v>
      </c>
      <c r="Q260" s="70" t="s">
        <v>198</v>
      </c>
      <c r="R260" s="70" t="s">
        <v>91</v>
      </c>
      <c r="S260" s="70" t="s">
        <v>199</v>
      </c>
      <c r="T260" s="71" t="s">
        <v>92</v>
      </c>
      <c r="U260" s="71" t="s">
        <v>93</v>
      </c>
      <c r="V260" s="68" t="s">
        <v>99</v>
      </c>
      <c r="W260" s="68">
        <v>31</v>
      </c>
      <c r="X260" s="72" t="s">
        <v>95</v>
      </c>
      <c r="Y260" s="72" t="s">
        <v>96</v>
      </c>
      <c r="Z260" s="104">
        <v>18000</v>
      </c>
      <c r="AA260" s="103" t="s">
        <v>203</v>
      </c>
      <c r="AB260" s="104">
        <v>4160</v>
      </c>
      <c r="AC260" s="68" t="s">
        <v>97</v>
      </c>
      <c r="AD260" s="73" t="s">
        <v>97</v>
      </c>
      <c r="AE260" s="35"/>
      <c r="AF260" s="37">
        <f t="shared" si="3"/>
        <v>208680</v>
      </c>
      <c r="AG260" s="29" t="s">
        <v>98</v>
      </c>
      <c r="AH260" s="222">
        <v>20049</v>
      </c>
      <c r="AI260" s="223" t="s">
        <v>232</v>
      </c>
      <c r="AJ260" s="224">
        <v>18000</v>
      </c>
      <c r="AK260" s="224" t="s">
        <v>203</v>
      </c>
      <c r="AL260" s="224">
        <v>4160</v>
      </c>
      <c r="AM260" s="225" t="s">
        <v>99</v>
      </c>
      <c r="AN260" s="40">
        <v>53200</v>
      </c>
      <c r="AO260" s="41" t="s">
        <v>331</v>
      </c>
      <c r="AP260" s="41" t="s">
        <v>332</v>
      </c>
      <c r="AQ260" s="27">
        <v>3000</v>
      </c>
      <c r="AR260" s="27" t="s">
        <v>94</v>
      </c>
      <c r="AS260" s="27">
        <v>900</v>
      </c>
      <c r="AT260" s="29">
        <v>41</v>
      </c>
      <c r="AU260" s="29" t="s">
        <v>100</v>
      </c>
      <c r="AV260" s="31">
        <v>42</v>
      </c>
      <c r="AW260" s="31" t="s">
        <v>100</v>
      </c>
      <c r="AX260" s="209"/>
      <c r="AY260" s="285"/>
      <c r="AZ260" s="285"/>
      <c r="BA260" s="286"/>
      <c r="BB260" s="286"/>
      <c r="BC260" s="44" t="s">
        <v>204</v>
      </c>
      <c r="BD260" s="33" t="s">
        <v>103</v>
      </c>
      <c r="BE260" s="271" t="s">
        <v>104</v>
      </c>
      <c r="BF260" s="271" t="s">
        <v>105</v>
      </c>
      <c r="BG260" s="269">
        <v>0</v>
      </c>
      <c r="BH260" s="42">
        <v>27000</v>
      </c>
      <c r="BI260" s="47" t="s">
        <v>100</v>
      </c>
      <c r="BJ260" s="32" t="s">
        <v>101</v>
      </c>
      <c r="BK260" s="32" t="s">
        <v>100</v>
      </c>
      <c r="BL260" s="26" t="s">
        <v>106</v>
      </c>
      <c r="BM260" s="26" t="s">
        <v>107</v>
      </c>
      <c r="BN260" s="209">
        <v>0</v>
      </c>
      <c r="BO260" s="26" t="s">
        <v>108</v>
      </c>
      <c r="BP260" s="34" t="s">
        <v>109</v>
      </c>
      <c r="BQ260" s="209">
        <v>4000</v>
      </c>
      <c r="BR260" s="26" t="s">
        <v>108</v>
      </c>
      <c r="BS260" s="34" t="s">
        <v>110</v>
      </c>
      <c r="BT260" s="209">
        <v>5500</v>
      </c>
      <c r="BU260" s="211">
        <v>11000</v>
      </c>
      <c r="BV260" s="212" t="s">
        <v>100</v>
      </c>
      <c r="BW260" s="212" t="s">
        <v>286</v>
      </c>
      <c r="BX260" s="213" t="s">
        <v>100</v>
      </c>
      <c r="BY260" s="213" t="s">
        <v>100</v>
      </c>
      <c r="BZ260" s="45">
        <v>2000</v>
      </c>
    </row>
    <row r="261" spans="3:78" ht="25.5">
      <c r="C261" s="1"/>
      <c r="D261" s="296"/>
      <c r="E261" s="299"/>
      <c r="F261" s="308"/>
      <c r="G261" s="174">
        <v>1250</v>
      </c>
      <c r="H261" s="62">
        <v>1000</v>
      </c>
      <c r="I261" s="62">
        <v>6000</v>
      </c>
      <c r="J261" s="62">
        <v>6000</v>
      </c>
      <c r="K261" s="62">
        <v>50</v>
      </c>
      <c r="L261" s="62">
        <v>120</v>
      </c>
      <c r="M261" s="101" t="s">
        <v>232</v>
      </c>
      <c r="N261" s="63">
        <f t="shared" si="2"/>
        <v>239952.96</v>
      </c>
      <c r="O261" s="62" t="s">
        <v>89</v>
      </c>
      <c r="P261" s="62">
        <v>6</v>
      </c>
      <c r="Q261" s="64" t="s">
        <v>198</v>
      </c>
      <c r="R261" s="64" t="s">
        <v>91</v>
      </c>
      <c r="S261" s="64" t="s">
        <v>199</v>
      </c>
      <c r="T261" s="65" t="s">
        <v>92</v>
      </c>
      <c r="U261" s="65" t="s">
        <v>93</v>
      </c>
      <c r="V261" s="62" t="s">
        <v>99</v>
      </c>
      <c r="W261" s="62">
        <v>31</v>
      </c>
      <c r="X261" s="66" t="s">
        <v>95</v>
      </c>
      <c r="Y261" s="66" t="s">
        <v>96</v>
      </c>
      <c r="Z261" s="102">
        <v>18000</v>
      </c>
      <c r="AA261" s="101" t="s">
        <v>203</v>
      </c>
      <c r="AB261" s="102">
        <v>4160</v>
      </c>
      <c r="AC261" s="62" t="s">
        <v>97</v>
      </c>
      <c r="AD261" s="75" t="s">
        <v>97</v>
      </c>
      <c r="AE261" s="35"/>
      <c r="AF261" s="37">
        <f t="shared" si="3"/>
        <v>226744.31999999998</v>
      </c>
      <c r="AG261" s="29" t="s">
        <v>98</v>
      </c>
      <c r="AH261" s="226">
        <v>21785</v>
      </c>
      <c r="AI261" s="48" t="s">
        <v>232</v>
      </c>
      <c r="AJ261" s="39">
        <v>18000</v>
      </c>
      <c r="AK261" s="39" t="s">
        <v>203</v>
      </c>
      <c r="AL261" s="39">
        <v>4160</v>
      </c>
      <c r="AM261" s="30" t="s">
        <v>99</v>
      </c>
      <c r="AN261" s="40">
        <v>65075</v>
      </c>
      <c r="AO261" s="41" t="s">
        <v>331</v>
      </c>
      <c r="AP261" s="41" t="s">
        <v>332</v>
      </c>
      <c r="AQ261" s="27">
        <v>3000</v>
      </c>
      <c r="AR261" s="27" t="s">
        <v>94</v>
      </c>
      <c r="AS261" s="27">
        <v>900</v>
      </c>
      <c r="AT261" s="29">
        <v>41</v>
      </c>
      <c r="AU261" s="29" t="s">
        <v>100</v>
      </c>
      <c r="AV261" s="31">
        <v>42</v>
      </c>
      <c r="AW261" s="31" t="s">
        <v>100</v>
      </c>
      <c r="AX261" s="209"/>
      <c r="AY261" s="285"/>
      <c r="AZ261" s="285"/>
      <c r="BA261" s="286"/>
      <c r="BB261" s="286"/>
      <c r="BC261" s="44" t="s">
        <v>204</v>
      </c>
      <c r="BD261" s="33" t="s">
        <v>103</v>
      </c>
      <c r="BE261" s="271" t="s">
        <v>104</v>
      </c>
      <c r="BF261" s="271" t="s">
        <v>105</v>
      </c>
      <c r="BG261" s="269">
        <v>0</v>
      </c>
      <c r="BH261" s="42">
        <v>27000</v>
      </c>
      <c r="BI261" s="47" t="s">
        <v>100</v>
      </c>
      <c r="BJ261" s="32" t="s">
        <v>101</v>
      </c>
      <c r="BK261" s="32" t="s">
        <v>100</v>
      </c>
      <c r="BL261" s="26" t="s">
        <v>106</v>
      </c>
      <c r="BM261" s="26" t="s">
        <v>107</v>
      </c>
      <c r="BN261" s="209">
        <v>0</v>
      </c>
      <c r="BO261" s="26" t="s">
        <v>108</v>
      </c>
      <c r="BP261" s="34" t="s">
        <v>109</v>
      </c>
      <c r="BQ261" s="209">
        <v>4000</v>
      </c>
      <c r="BR261" s="26" t="s">
        <v>108</v>
      </c>
      <c r="BS261" s="34" t="s">
        <v>110</v>
      </c>
      <c r="BT261" s="209">
        <v>5500</v>
      </c>
      <c r="BU261" s="211">
        <v>11000</v>
      </c>
      <c r="BV261" s="212" t="s">
        <v>100</v>
      </c>
      <c r="BW261" s="212" t="s">
        <v>286</v>
      </c>
      <c r="BX261" s="213" t="s">
        <v>100</v>
      </c>
      <c r="BY261" s="213" t="s">
        <v>100</v>
      </c>
      <c r="BZ261" s="45">
        <v>2000</v>
      </c>
    </row>
    <row r="262" spans="3:78" ht="26.25" thickBot="1">
      <c r="C262" s="1"/>
      <c r="D262" s="296"/>
      <c r="E262" s="299"/>
      <c r="F262" s="308"/>
      <c r="G262" s="175">
        <v>1400</v>
      </c>
      <c r="H262" s="77">
        <v>1120</v>
      </c>
      <c r="I262" s="77">
        <v>6000</v>
      </c>
      <c r="J262" s="77">
        <v>6000</v>
      </c>
      <c r="K262" s="77">
        <v>50</v>
      </c>
      <c r="L262" s="77">
        <v>135</v>
      </c>
      <c r="M262" s="136" t="s">
        <v>232</v>
      </c>
      <c r="N262" s="78">
        <f t="shared" si="2"/>
        <v>244335.35999999999</v>
      </c>
      <c r="O262" s="77" t="s">
        <v>89</v>
      </c>
      <c r="P262" s="77">
        <v>6</v>
      </c>
      <c r="Q262" s="79" t="s">
        <v>198</v>
      </c>
      <c r="R262" s="79" t="s">
        <v>91</v>
      </c>
      <c r="S262" s="79" t="s">
        <v>199</v>
      </c>
      <c r="T262" s="80" t="s">
        <v>92</v>
      </c>
      <c r="U262" s="80" t="s">
        <v>93</v>
      </c>
      <c r="V262" s="77" t="s">
        <v>99</v>
      </c>
      <c r="W262" s="77">
        <v>31</v>
      </c>
      <c r="X262" s="81" t="s">
        <v>95</v>
      </c>
      <c r="Y262" s="81" t="s">
        <v>96</v>
      </c>
      <c r="Z262" s="170">
        <v>18000</v>
      </c>
      <c r="AA262" s="136" t="s">
        <v>203</v>
      </c>
      <c r="AB262" s="170">
        <v>4160</v>
      </c>
      <c r="AC262" s="176" t="s">
        <v>97</v>
      </c>
      <c r="AD262" s="177" t="s">
        <v>97</v>
      </c>
      <c r="AE262" s="35"/>
      <c r="AF262" s="37">
        <f t="shared" si="3"/>
        <v>230885.75999999998</v>
      </c>
      <c r="AG262" s="29" t="s">
        <v>98</v>
      </c>
      <c r="AH262" s="218">
        <v>22183</v>
      </c>
      <c r="AI262" s="219" t="s">
        <v>232</v>
      </c>
      <c r="AJ262" s="220">
        <v>18000</v>
      </c>
      <c r="AK262" s="220" t="s">
        <v>203</v>
      </c>
      <c r="AL262" s="220">
        <v>4160</v>
      </c>
      <c r="AM262" s="221" t="s">
        <v>99</v>
      </c>
      <c r="AN262" s="40">
        <v>65075</v>
      </c>
      <c r="AO262" s="41" t="s">
        <v>331</v>
      </c>
      <c r="AP262" s="41" t="s">
        <v>332</v>
      </c>
      <c r="AQ262" s="27">
        <v>3000</v>
      </c>
      <c r="AR262" s="27" t="s">
        <v>94</v>
      </c>
      <c r="AS262" s="27">
        <v>900</v>
      </c>
      <c r="AT262" s="29">
        <v>41</v>
      </c>
      <c r="AU262" s="29" t="s">
        <v>100</v>
      </c>
      <c r="AV262" s="31">
        <v>42</v>
      </c>
      <c r="AW262" s="31" t="s">
        <v>100</v>
      </c>
      <c r="AX262" s="209"/>
      <c r="AY262" s="285"/>
      <c r="AZ262" s="285"/>
      <c r="BA262" s="286"/>
      <c r="BB262" s="286"/>
      <c r="BC262" s="44" t="s">
        <v>204</v>
      </c>
      <c r="BD262" s="33" t="s">
        <v>103</v>
      </c>
      <c r="BE262" s="271" t="s">
        <v>104</v>
      </c>
      <c r="BF262" s="271" t="s">
        <v>105</v>
      </c>
      <c r="BG262" s="269">
        <v>0</v>
      </c>
      <c r="BH262" s="42">
        <v>27000</v>
      </c>
      <c r="BI262" s="47" t="s">
        <v>100</v>
      </c>
      <c r="BJ262" s="32" t="s">
        <v>101</v>
      </c>
      <c r="BK262" s="32" t="s">
        <v>100</v>
      </c>
      <c r="BL262" s="26" t="s">
        <v>106</v>
      </c>
      <c r="BM262" s="26" t="s">
        <v>107</v>
      </c>
      <c r="BN262" s="209">
        <v>0</v>
      </c>
      <c r="BO262" s="26" t="s">
        <v>108</v>
      </c>
      <c r="BP262" s="34" t="s">
        <v>109</v>
      </c>
      <c r="BQ262" s="209">
        <v>4000</v>
      </c>
      <c r="BR262" s="26" t="s">
        <v>108</v>
      </c>
      <c r="BS262" s="34" t="s">
        <v>110</v>
      </c>
      <c r="BT262" s="209">
        <v>5500</v>
      </c>
      <c r="BU262" s="211">
        <v>11000</v>
      </c>
      <c r="BV262" s="212" t="s">
        <v>100</v>
      </c>
      <c r="BW262" s="212" t="s">
        <v>286</v>
      </c>
      <c r="BX262" s="213" t="s">
        <v>100</v>
      </c>
      <c r="BY262" s="213" t="s">
        <v>100</v>
      </c>
      <c r="BZ262" s="45">
        <v>2000</v>
      </c>
    </row>
    <row r="263" spans="3:78" ht="26.25" thickBot="1">
      <c r="C263" s="1"/>
      <c r="D263" s="296"/>
      <c r="E263" s="299"/>
      <c r="F263" s="308"/>
      <c r="G263" s="178">
        <v>1565</v>
      </c>
      <c r="H263" s="68">
        <v>1250</v>
      </c>
      <c r="I263" s="68">
        <v>6000</v>
      </c>
      <c r="J263" s="68">
        <v>6000</v>
      </c>
      <c r="K263" s="68">
        <v>50</v>
      </c>
      <c r="L263" s="68">
        <v>150</v>
      </c>
      <c r="M263" s="83" t="s">
        <v>233</v>
      </c>
      <c r="N263" s="69">
        <f t="shared" si="2"/>
        <v>279062.39999999997</v>
      </c>
      <c r="O263" s="68" t="s">
        <v>89</v>
      </c>
      <c r="P263" s="68">
        <v>6</v>
      </c>
      <c r="Q263" s="70" t="s">
        <v>198</v>
      </c>
      <c r="R263" s="70" t="s">
        <v>91</v>
      </c>
      <c r="S263" s="70" t="s">
        <v>199</v>
      </c>
      <c r="T263" s="71" t="s">
        <v>92</v>
      </c>
      <c r="U263" s="71" t="s">
        <v>93</v>
      </c>
      <c r="V263" s="68" t="s">
        <v>99</v>
      </c>
      <c r="W263" s="68">
        <v>31</v>
      </c>
      <c r="X263" s="72" t="s">
        <v>95</v>
      </c>
      <c r="Y263" s="72" t="s">
        <v>96</v>
      </c>
      <c r="Z263" s="86">
        <v>27000</v>
      </c>
      <c r="AA263" s="83" t="s">
        <v>203</v>
      </c>
      <c r="AB263" s="86">
        <v>4180</v>
      </c>
      <c r="AC263" s="179" t="s">
        <v>97</v>
      </c>
      <c r="AD263" s="180" t="s">
        <v>97</v>
      </c>
      <c r="AE263" s="35"/>
      <c r="AF263" s="37">
        <f t="shared" si="3"/>
        <v>263701.44</v>
      </c>
      <c r="AG263" s="29" t="s">
        <v>98</v>
      </c>
      <c r="AH263" s="222">
        <v>25335</v>
      </c>
      <c r="AI263" s="223" t="s">
        <v>233</v>
      </c>
      <c r="AJ263" s="224">
        <v>27000</v>
      </c>
      <c r="AK263" s="224" t="s">
        <v>203</v>
      </c>
      <c r="AL263" s="224">
        <v>4180</v>
      </c>
      <c r="AM263" s="225" t="s">
        <v>99</v>
      </c>
      <c r="AN263" s="235">
        <v>65075</v>
      </c>
      <c r="AO263" s="236" t="s">
        <v>331</v>
      </c>
      <c r="AP263" s="236" t="s">
        <v>332</v>
      </c>
      <c r="AQ263" s="237">
        <v>3000</v>
      </c>
      <c r="AR263" s="237" t="s">
        <v>94</v>
      </c>
      <c r="AS263" s="237">
        <v>900</v>
      </c>
      <c r="AT263" s="29">
        <v>41</v>
      </c>
      <c r="AU263" s="29" t="s">
        <v>100</v>
      </c>
      <c r="AV263" s="31">
        <v>42</v>
      </c>
      <c r="AW263" s="31" t="s">
        <v>100</v>
      </c>
      <c r="AX263" s="209"/>
      <c r="AY263" s="285"/>
      <c r="AZ263" s="285"/>
      <c r="BA263" s="286"/>
      <c r="BB263" s="286"/>
      <c r="BC263" s="44" t="s">
        <v>204</v>
      </c>
      <c r="BD263" s="33" t="s">
        <v>103</v>
      </c>
      <c r="BE263" s="271" t="s">
        <v>104</v>
      </c>
      <c r="BF263" s="271" t="s">
        <v>105</v>
      </c>
      <c r="BG263" s="269">
        <v>0</v>
      </c>
      <c r="BH263" s="42">
        <v>27000</v>
      </c>
      <c r="BI263" s="47" t="s">
        <v>100</v>
      </c>
      <c r="BJ263" s="32" t="s">
        <v>101</v>
      </c>
      <c r="BK263" s="32" t="s">
        <v>100</v>
      </c>
      <c r="BL263" s="26" t="s">
        <v>106</v>
      </c>
      <c r="BM263" s="26" t="s">
        <v>107</v>
      </c>
      <c r="BN263" s="209">
        <v>0</v>
      </c>
      <c r="BO263" s="26" t="s">
        <v>108</v>
      </c>
      <c r="BP263" s="34" t="s">
        <v>109</v>
      </c>
      <c r="BQ263" s="209">
        <v>4000</v>
      </c>
      <c r="BR263" s="26" t="s">
        <v>108</v>
      </c>
      <c r="BS263" s="34" t="s">
        <v>110</v>
      </c>
      <c r="BT263" s="209">
        <v>5500</v>
      </c>
      <c r="BU263" s="211">
        <v>11000</v>
      </c>
      <c r="BV263" s="212" t="s">
        <v>100</v>
      </c>
      <c r="BW263" s="212" t="s">
        <v>286</v>
      </c>
      <c r="BX263" s="213" t="s">
        <v>100</v>
      </c>
      <c r="BY263" s="213" t="s">
        <v>100</v>
      </c>
      <c r="BZ263" s="45">
        <v>2000</v>
      </c>
    </row>
    <row r="264" spans="3:78" ht="90" customHeight="1" thickBot="1">
      <c r="C264" s="1"/>
      <c r="D264" s="297"/>
      <c r="E264" s="300"/>
      <c r="F264" s="309"/>
      <c r="G264" s="175">
        <v>1750</v>
      </c>
      <c r="H264" s="77">
        <v>1400</v>
      </c>
      <c r="I264" s="77">
        <v>6000</v>
      </c>
      <c r="J264" s="77">
        <v>6000</v>
      </c>
      <c r="K264" s="77">
        <v>50</v>
      </c>
      <c r="L264" s="77">
        <v>170</v>
      </c>
      <c r="M264" s="85" t="s">
        <v>233</v>
      </c>
      <c r="N264" s="78">
        <f t="shared" si="2"/>
        <v>292662.71999999997</v>
      </c>
      <c r="O264" s="77" t="s">
        <v>89</v>
      </c>
      <c r="P264" s="77">
        <v>6</v>
      </c>
      <c r="Q264" s="79" t="s">
        <v>198</v>
      </c>
      <c r="R264" s="79" t="s">
        <v>91</v>
      </c>
      <c r="S264" s="79" t="s">
        <v>199</v>
      </c>
      <c r="T264" s="80" t="s">
        <v>92</v>
      </c>
      <c r="U264" s="80" t="s">
        <v>93</v>
      </c>
      <c r="V264" s="77" t="s">
        <v>99</v>
      </c>
      <c r="W264" s="77">
        <v>31</v>
      </c>
      <c r="X264" s="81" t="s">
        <v>95</v>
      </c>
      <c r="Y264" s="81" t="s">
        <v>96</v>
      </c>
      <c r="Z264" s="88">
        <v>27000</v>
      </c>
      <c r="AA264" s="85" t="s">
        <v>203</v>
      </c>
      <c r="AB264" s="88">
        <v>4180</v>
      </c>
      <c r="AC264" s="176" t="s">
        <v>97</v>
      </c>
      <c r="AD264" s="177" t="s">
        <v>97</v>
      </c>
      <c r="AE264" s="35"/>
      <c r="AF264" s="37">
        <f t="shared" si="3"/>
        <v>276552.95999999996</v>
      </c>
      <c r="AG264" s="29" t="s">
        <v>98</v>
      </c>
      <c r="AH264" s="218">
        <v>26570</v>
      </c>
      <c r="AI264" s="219" t="s">
        <v>233</v>
      </c>
      <c r="AJ264" s="220">
        <v>27000</v>
      </c>
      <c r="AK264" s="220" t="s">
        <v>203</v>
      </c>
      <c r="AL264" s="220">
        <v>4180</v>
      </c>
      <c r="AM264" s="221" t="s">
        <v>99</v>
      </c>
      <c r="AN264" s="248">
        <v>65075</v>
      </c>
      <c r="AO264" s="249" t="s">
        <v>304</v>
      </c>
      <c r="AP264" s="249" t="s">
        <v>307</v>
      </c>
      <c r="AQ264" s="249">
        <v>3000</v>
      </c>
      <c r="AR264" s="249" t="s">
        <v>94</v>
      </c>
      <c r="AS264" s="249">
        <v>1500</v>
      </c>
      <c r="AT264" s="29">
        <v>41</v>
      </c>
      <c r="AU264" s="29" t="s">
        <v>100</v>
      </c>
      <c r="AV264" s="31">
        <v>42</v>
      </c>
      <c r="AW264" s="31" t="s">
        <v>100</v>
      </c>
      <c r="AX264" s="209"/>
      <c r="AY264" s="285"/>
      <c r="AZ264" s="285"/>
      <c r="BA264" s="286"/>
      <c r="BB264" s="286"/>
      <c r="BC264" s="44" t="s">
        <v>204</v>
      </c>
      <c r="BD264" s="33" t="s">
        <v>103</v>
      </c>
      <c r="BE264" s="271" t="s">
        <v>104</v>
      </c>
      <c r="BF264" s="271" t="s">
        <v>105</v>
      </c>
      <c r="BG264" s="269">
        <v>0</v>
      </c>
      <c r="BH264" s="42">
        <v>27000</v>
      </c>
      <c r="BI264" s="47" t="s">
        <v>100</v>
      </c>
      <c r="BJ264" s="32" t="s">
        <v>101</v>
      </c>
      <c r="BK264" s="32" t="s">
        <v>100</v>
      </c>
      <c r="BL264" s="26" t="s">
        <v>106</v>
      </c>
      <c r="BM264" s="26" t="s">
        <v>107</v>
      </c>
      <c r="BN264" s="209">
        <v>0</v>
      </c>
      <c r="BO264" s="26" t="s">
        <v>108</v>
      </c>
      <c r="BP264" s="34" t="s">
        <v>109</v>
      </c>
      <c r="BQ264" s="209">
        <v>4000</v>
      </c>
      <c r="BR264" s="26" t="s">
        <v>108</v>
      </c>
      <c r="BS264" s="34" t="s">
        <v>110</v>
      </c>
      <c r="BT264" s="209">
        <v>5500</v>
      </c>
      <c r="BU264" s="211">
        <v>11000</v>
      </c>
      <c r="BV264" s="212" t="s">
        <v>100</v>
      </c>
      <c r="BW264" s="212" t="s">
        <v>286</v>
      </c>
      <c r="BX264" s="213" t="s">
        <v>100</v>
      </c>
      <c r="BY264" s="213" t="s">
        <v>100</v>
      </c>
      <c r="BZ264" s="45">
        <v>2000</v>
      </c>
    </row>
    <row r="265" spans="3:78" ht="13.5" thickBot="1">
      <c r="C265" s="1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6"/>
      <c r="AW265" s="36"/>
      <c r="AX265" s="287"/>
      <c r="AY265" s="287"/>
      <c r="AZ265" s="287"/>
      <c r="BA265" s="287"/>
      <c r="BB265" s="287"/>
      <c r="BC265" s="36"/>
      <c r="BD265" s="36"/>
      <c r="BE265" s="36"/>
      <c r="BF265" s="36"/>
      <c r="BG265" s="36"/>
      <c r="BH265" s="36"/>
      <c r="BI265" s="36"/>
      <c r="BJ265" s="36"/>
      <c r="BK265" s="36"/>
      <c r="BL265" s="36"/>
      <c r="BM265" s="36"/>
      <c r="BN265" s="36"/>
      <c r="BO265" s="36"/>
      <c r="BP265" s="36"/>
      <c r="BQ265" s="36"/>
      <c r="BR265" s="36"/>
      <c r="BS265" s="36"/>
      <c r="BT265" s="36"/>
      <c r="BZ265" s="36"/>
    </row>
    <row r="266" spans="3:78" ht="25.5" customHeight="1">
      <c r="C266" s="1"/>
      <c r="D266" s="295">
        <v>11</v>
      </c>
      <c r="E266" s="298" t="s">
        <v>347</v>
      </c>
      <c r="F266" s="301" t="s">
        <v>346</v>
      </c>
      <c r="G266" s="67">
        <v>250</v>
      </c>
      <c r="H266" s="68">
        <v>200</v>
      </c>
      <c r="I266" s="68">
        <v>10000</v>
      </c>
      <c r="J266" s="68">
        <v>10000</v>
      </c>
      <c r="K266" s="68">
        <v>50</v>
      </c>
      <c r="L266" s="68">
        <v>15</v>
      </c>
      <c r="M266" s="83" t="s">
        <v>229</v>
      </c>
      <c r="N266" s="69">
        <f>N154*0.96</f>
        <v>178945.91999999998</v>
      </c>
      <c r="O266" s="68" t="s">
        <v>89</v>
      </c>
      <c r="P266" s="68">
        <v>8</v>
      </c>
      <c r="Q266" s="70" t="s">
        <v>198</v>
      </c>
      <c r="R266" s="70" t="s">
        <v>91</v>
      </c>
      <c r="S266" s="70" t="s">
        <v>199</v>
      </c>
      <c r="T266" s="71" t="s">
        <v>92</v>
      </c>
      <c r="U266" s="71" t="s">
        <v>93</v>
      </c>
      <c r="V266" s="68" t="s">
        <v>99</v>
      </c>
      <c r="W266" s="68">
        <v>31</v>
      </c>
      <c r="X266" s="72" t="s">
        <v>95</v>
      </c>
      <c r="Y266" s="72" t="s">
        <v>96</v>
      </c>
      <c r="Z266" s="86">
        <v>6000</v>
      </c>
      <c r="AA266" s="83" t="s">
        <v>208</v>
      </c>
      <c r="AB266" s="86">
        <v>2700</v>
      </c>
      <c r="AC266" s="68" t="s">
        <v>97</v>
      </c>
      <c r="AD266" s="73" t="s">
        <v>97</v>
      </c>
      <c r="AE266" s="28"/>
      <c r="AF266" s="37">
        <f>AF154*0.96</f>
        <v>168209.28</v>
      </c>
      <c r="AG266" s="29" t="s">
        <v>98</v>
      </c>
      <c r="AH266" s="226">
        <v>17708</v>
      </c>
      <c r="AI266" s="48" t="s">
        <v>229</v>
      </c>
      <c r="AJ266" s="39">
        <v>6000</v>
      </c>
      <c r="AK266" s="39" t="s">
        <v>208</v>
      </c>
      <c r="AL266" s="39">
        <v>2700</v>
      </c>
      <c r="AM266" s="30" t="s">
        <v>99</v>
      </c>
      <c r="AN266" s="40">
        <v>55100</v>
      </c>
      <c r="AO266" s="41" t="s">
        <v>333</v>
      </c>
      <c r="AP266" s="41" t="s">
        <v>334</v>
      </c>
      <c r="AQ266" s="27">
        <v>3000</v>
      </c>
      <c r="AR266" s="27" t="s">
        <v>94</v>
      </c>
      <c r="AS266" s="27">
        <v>900</v>
      </c>
      <c r="AT266" s="29">
        <v>41</v>
      </c>
      <c r="AU266" s="29" t="s">
        <v>100</v>
      </c>
      <c r="AV266" s="31">
        <v>42</v>
      </c>
      <c r="AW266" s="31" t="s">
        <v>100</v>
      </c>
      <c r="AX266" s="209"/>
      <c r="AY266" s="285"/>
      <c r="AZ266" s="285"/>
      <c r="BA266" s="286"/>
      <c r="BB266" s="286"/>
      <c r="BC266" s="44" t="s">
        <v>204</v>
      </c>
      <c r="BD266" s="33" t="s">
        <v>103</v>
      </c>
      <c r="BE266" s="271" t="s">
        <v>104</v>
      </c>
      <c r="BF266" s="271" t="s">
        <v>105</v>
      </c>
      <c r="BG266" s="269">
        <v>0</v>
      </c>
      <c r="BH266" s="42">
        <v>24000</v>
      </c>
      <c r="BI266" s="47" t="s">
        <v>100</v>
      </c>
      <c r="BJ266" s="32" t="s">
        <v>309</v>
      </c>
      <c r="BK266" s="32">
        <v>500</v>
      </c>
      <c r="BL266" s="26" t="s">
        <v>106</v>
      </c>
      <c r="BM266" s="26" t="s">
        <v>107</v>
      </c>
      <c r="BN266" s="209">
        <v>0</v>
      </c>
      <c r="BO266" s="26" t="s">
        <v>108</v>
      </c>
      <c r="BP266" s="34" t="s">
        <v>109</v>
      </c>
      <c r="BQ266" s="209">
        <v>4000</v>
      </c>
      <c r="BR266" s="26" t="s">
        <v>108</v>
      </c>
      <c r="BS266" s="34" t="s">
        <v>110</v>
      </c>
      <c r="BT266" s="209">
        <v>5500</v>
      </c>
      <c r="BU266" s="211">
        <v>11000</v>
      </c>
      <c r="BV266" s="212" t="s">
        <v>100</v>
      </c>
      <c r="BW266" s="212" t="s">
        <v>286</v>
      </c>
      <c r="BX266" s="213" t="s">
        <v>100</v>
      </c>
      <c r="BY266" s="213" t="s">
        <v>100</v>
      </c>
      <c r="BZ266" s="45">
        <v>2000</v>
      </c>
    </row>
    <row r="267" spans="3:78" ht="25.5">
      <c r="C267" s="1"/>
      <c r="D267" s="296"/>
      <c r="E267" s="299"/>
      <c r="F267" s="302"/>
      <c r="G267" s="74">
        <v>315</v>
      </c>
      <c r="H267" s="62">
        <v>250</v>
      </c>
      <c r="I267" s="62">
        <v>10000</v>
      </c>
      <c r="J267" s="62">
        <v>10000</v>
      </c>
      <c r="K267" s="62">
        <v>50</v>
      </c>
      <c r="L267" s="62">
        <v>19</v>
      </c>
      <c r="M267" s="84" t="s">
        <v>229</v>
      </c>
      <c r="N267" s="63">
        <f t="shared" ref="N267:N296" si="4">N155*0.96</f>
        <v>180373.44</v>
      </c>
      <c r="O267" s="62" t="s">
        <v>89</v>
      </c>
      <c r="P267" s="62">
        <v>8</v>
      </c>
      <c r="Q267" s="64" t="s">
        <v>198</v>
      </c>
      <c r="R267" s="64" t="s">
        <v>91</v>
      </c>
      <c r="S267" s="64" t="s">
        <v>199</v>
      </c>
      <c r="T267" s="65" t="s">
        <v>92</v>
      </c>
      <c r="U267" s="65" t="s">
        <v>93</v>
      </c>
      <c r="V267" s="62" t="s">
        <v>99</v>
      </c>
      <c r="W267" s="62">
        <v>31</v>
      </c>
      <c r="X267" s="66" t="s">
        <v>95</v>
      </c>
      <c r="Y267" s="66" t="s">
        <v>96</v>
      </c>
      <c r="Z267" s="87">
        <v>6000</v>
      </c>
      <c r="AA267" s="84" t="s">
        <v>208</v>
      </c>
      <c r="AB267" s="87">
        <v>2700</v>
      </c>
      <c r="AC267" s="62" t="s">
        <v>97</v>
      </c>
      <c r="AD267" s="75" t="s">
        <v>97</v>
      </c>
      <c r="AE267" s="35"/>
      <c r="AF267" s="37">
        <f t="shared" ref="AF267:AF296" si="5">AF155*0.96</f>
        <v>169551.35999999999</v>
      </c>
      <c r="AG267" s="29" t="s">
        <v>98</v>
      </c>
      <c r="AH267" s="226">
        <v>17849</v>
      </c>
      <c r="AI267" s="48" t="s">
        <v>229</v>
      </c>
      <c r="AJ267" s="39">
        <v>6000</v>
      </c>
      <c r="AK267" s="39" t="s">
        <v>208</v>
      </c>
      <c r="AL267" s="39">
        <v>2700</v>
      </c>
      <c r="AM267" s="30" t="s">
        <v>99</v>
      </c>
      <c r="AN267" s="40">
        <v>55100</v>
      </c>
      <c r="AO267" s="41" t="s">
        <v>333</v>
      </c>
      <c r="AP267" s="41" t="s">
        <v>334</v>
      </c>
      <c r="AQ267" s="27">
        <v>3000</v>
      </c>
      <c r="AR267" s="27" t="s">
        <v>94</v>
      </c>
      <c r="AS267" s="27">
        <v>900</v>
      </c>
      <c r="AT267" s="29">
        <v>41</v>
      </c>
      <c r="AU267" s="29" t="s">
        <v>100</v>
      </c>
      <c r="AV267" s="31">
        <v>42</v>
      </c>
      <c r="AW267" s="31" t="s">
        <v>100</v>
      </c>
      <c r="AX267" s="209"/>
      <c r="AY267" s="285"/>
      <c r="AZ267" s="285"/>
      <c r="BA267" s="286"/>
      <c r="BB267" s="286"/>
      <c r="BC267" s="44" t="s">
        <v>204</v>
      </c>
      <c r="BD267" s="33" t="s">
        <v>103</v>
      </c>
      <c r="BE267" s="271" t="s">
        <v>104</v>
      </c>
      <c r="BF267" s="271" t="s">
        <v>105</v>
      </c>
      <c r="BG267" s="269">
        <v>0</v>
      </c>
      <c r="BH267" s="42">
        <v>24000</v>
      </c>
      <c r="BI267" s="47" t="s">
        <v>100</v>
      </c>
      <c r="BJ267" s="32" t="s">
        <v>309</v>
      </c>
      <c r="BK267" s="32">
        <v>500</v>
      </c>
      <c r="BL267" s="26" t="s">
        <v>106</v>
      </c>
      <c r="BM267" s="26" t="s">
        <v>107</v>
      </c>
      <c r="BN267" s="209">
        <v>0</v>
      </c>
      <c r="BO267" s="26" t="s">
        <v>108</v>
      </c>
      <c r="BP267" s="34" t="s">
        <v>109</v>
      </c>
      <c r="BQ267" s="209">
        <v>4000</v>
      </c>
      <c r="BR267" s="26" t="s">
        <v>108</v>
      </c>
      <c r="BS267" s="34" t="s">
        <v>110</v>
      </c>
      <c r="BT267" s="209">
        <v>5500</v>
      </c>
      <c r="BU267" s="211">
        <v>11000</v>
      </c>
      <c r="BV267" s="212" t="s">
        <v>100</v>
      </c>
      <c r="BW267" s="212" t="s">
        <v>286</v>
      </c>
      <c r="BX267" s="213" t="s">
        <v>100</v>
      </c>
      <c r="BY267" s="213" t="s">
        <v>100</v>
      </c>
      <c r="BZ267" s="45">
        <v>2000</v>
      </c>
    </row>
    <row r="268" spans="3:78" ht="25.5">
      <c r="C268" s="1"/>
      <c r="D268" s="296"/>
      <c r="E268" s="299"/>
      <c r="F268" s="302"/>
      <c r="G268" s="74">
        <v>350</v>
      </c>
      <c r="H268" s="62">
        <v>280</v>
      </c>
      <c r="I268" s="62">
        <v>10000</v>
      </c>
      <c r="J268" s="62">
        <v>10000</v>
      </c>
      <c r="K268" s="62">
        <v>50</v>
      </c>
      <c r="L268" s="62">
        <v>21</v>
      </c>
      <c r="M268" s="84" t="s">
        <v>229</v>
      </c>
      <c r="N268" s="63">
        <f t="shared" si="4"/>
        <v>181142.39999999999</v>
      </c>
      <c r="O268" s="62" t="s">
        <v>89</v>
      </c>
      <c r="P268" s="62">
        <v>8</v>
      </c>
      <c r="Q268" s="64" t="s">
        <v>198</v>
      </c>
      <c r="R268" s="64" t="s">
        <v>91</v>
      </c>
      <c r="S268" s="64" t="s">
        <v>199</v>
      </c>
      <c r="T268" s="65" t="s">
        <v>92</v>
      </c>
      <c r="U268" s="65" t="s">
        <v>93</v>
      </c>
      <c r="V268" s="62" t="s">
        <v>99</v>
      </c>
      <c r="W268" s="62">
        <v>31</v>
      </c>
      <c r="X268" s="66" t="s">
        <v>95</v>
      </c>
      <c r="Y268" s="66" t="s">
        <v>96</v>
      </c>
      <c r="Z268" s="87">
        <v>6000</v>
      </c>
      <c r="AA268" s="84" t="s">
        <v>208</v>
      </c>
      <c r="AB268" s="87">
        <v>2700</v>
      </c>
      <c r="AC268" s="62" t="s">
        <v>97</v>
      </c>
      <c r="AD268" s="75" t="s">
        <v>97</v>
      </c>
      <c r="AE268" s="35"/>
      <c r="AF268" s="37">
        <f t="shared" si="5"/>
        <v>170274.24</v>
      </c>
      <c r="AG268" s="29" t="s">
        <v>98</v>
      </c>
      <c r="AH268" s="226">
        <v>17926</v>
      </c>
      <c r="AI268" s="48" t="s">
        <v>229</v>
      </c>
      <c r="AJ268" s="39">
        <v>6000</v>
      </c>
      <c r="AK268" s="39" t="s">
        <v>208</v>
      </c>
      <c r="AL268" s="39">
        <v>2700</v>
      </c>
      <c r="AM268" s="30" t="s">
        <v>99</v>
      </c>
      <c r="AN268" s="40">
        <v>55100</v>
      </c>
      <c r="AO268" s="41" t="s">
        <v>333</v>
      </c>
      <c r="AP268" s="41" t="s">
        <v>334</v>
      </c>
      <c r="AQ268" s="27">
        <v>3000</v>
      </c>
      <c r="AR268" s="27" t="s">
        <v>94</v>
      </c>
      <c r="AS268" s="27">
        <v>900</v>
      </c>
      <c r="AT268" s="29">
        <v>41</v>
      </c>
      <c r="AU268" s="29" t="s">
        <v>100</v>
      </c>
      <c r="AV268" s="31">
        <v>42</v>
      </c>
      <c r="AW268" s="31" t="s">
        <v>100</v>
      </c>
      <c r="AX268" s="209"/>
      <c r="AY268" s="285"/>
      <c r="AZ268" s="285"/>
      <c r="BA268" s="286"/>
      <c r="BB268" s="286"/>
      <c r="BC268" s="44" t="s">
        <v>204</v>
      </c>
      <c r="BD268" s="33" t="s">
        <v>103</v>
      </c>
      <c r="BE268" s="271" t="s">
        <v>104</v>
      </c>
      <c r="BF268" s="271" t="s">
        <v>105</v>
      </c>
      <c r="BG268" s="269">
        <v>0</v>
      </c>
      <c r="BH268" s="42">
        <v>24000</v>
      </c>
      <c r="BI268" s="47" t="s">
        <v>100</v>
      </c>
      <c r="BJ268" s="32" t="s">
        <v>309</v>
      </c>
      <c r="BK268" s="32">
        <v>500</v>
      </c>
      <c r="BL268" s="26" t="s">
        <v>106</v>
      </c>
      <c r="BM268" s="26" t="s">
        <v>107</v>
      </c>
      <c r="BN268" s="209">
        <v>0</v>
      </c>
      <c r="BO268" s="26" t="s">
        <v>108</v>
      </c>
      <c r="BP268" s="34" t="s">
        <v>109</v>
      </c>
      <c r="BQ268" s="209">
        <v>4000</v>
      </c>
      <c r="BR268" s="26" t="s">
        <v>108</v>
      </c>
      <c r="BS268" s="34" t="s">
        <v>110</v>
      </c>
      <c r="BT268" s="209">
        <v>5500</v>
      </c>
      <c r="BU268" s="211">
        <v>11000</v>
      </c>
      <c r="BV268" s="212" t="s">
        <v>100</v>
      </c>
      <c r="BW268" s="212" t="s">
        <v>286</v>
      </c>
      <c r="BX268" s="213" t="s">
        <v>100</v>
      </c>
      <c r="BY268" s="213" t="s">
        <v>100</v>
      </c>
      <c r="BZ268" s="45">
        <v>2000</v>
      </c>
    </row>
    <row r="269" spans="3:78" ht="25.5">
      <c r="C269" s="1"/>
      <c r="D269" s="296"/>
      <c r="E269" s="299"/>
      <c r="F269" s="302"/>
      <c r="G269" s="74">
        <v>375</v>
      </c>
      <c r="H269" s="62">
        <v>300</v>
      </c>
      <c r="I269" s="62">
        <v>10000</v>
      </c>
      <c r="J269" s="62">
        <v>10000</v>
      </c>
      <c r="K269" s="62">
        <v>50</v>
      </c>
      <c r="L269" s="62">
        <v>23</v>
      </c>
      <c r="M269" s="84" t="s">
        <v>229</v>
      </c>
      <c r="N269" s="63">
        <f t="shared" si="4"/>
        <v>181689.60000000001</v>
      </c>
      <c r="O269" s="62" t="s">
        <v>89</v>
      </c>
      <c r="P269" s="62">
        <v>8</v>
      </c>
      <c r="Q269" s="64" t="s">
        <v>198</v>
      </c>
      <c r="R269" s="64" t="s">
        <v>91</v>
      </c>
      <c r="S269" s="64" t="s">
        <v>199</v>
      </c>
      <c r="T269" s="65" t="s">
        <v>92</v>
      </c>
      <c r="U269" s="65" t="s">
        <v>93</v>
      </c>
      <c r="V269" s="62" t="s">
        <v>99</v>
      </c>
      <c r="W269" s="62">
        <v>31</v>
      </c>
      <c r="X269" s="66" t="s">
        <v>95</v>
      </c>
      <c r="Y269" s="66" t="s">
        <v>96</v>
      </c>
      <c r="Z269" s="87">
        <v>6000</v>
      </c>
      <c r="AA269" s="84" t="s">
        <v>208</v>
      </c>
      <c r="AB269" s="87">
        <v>2700</v>
      </c>
      <c r="AC269" s="62" t="s">
        <v>97</v>
      </c>
      <c r="AD269" s="75" t="s">
        <v>97</v>
      </c>
      <c r="AE269" s="35"/>
      <c r="AF269" s="37">
        <f t="shared" si="5"/>
        <v>170787.84</v>
      </c>
      <c r="AG269" s="29" t="s">
        <v>98</v>
      </c>
      <c r="AH269" s="226">
        <v>17980</v>
      </c>
      <c r="AI269" s="48" t="s">
        <v>229</v>
      </c>
      <c r="AJ269" s="39">
        <v>6000</v>
      </c>
      <c r="AK269" s="39" t="s">
        <v>208</v>
      </c>
      <c r="AL269" s="39">
        <v>2700</v>
      </c>
      <c r="AM269" s="30" t="s">
        <v>99</v>
      </c>
      <c r="AN269" s="40">
        <v>55100</v>
      </c>
      <c r="AO269" s="41" t="s">
        <v>333</v>
      </c>
      <c r="AP269" s="41" t="s">
        <v>334</v>
      </c>
      <c r="AQ269" s="27">
        <v>3000</v>
      </c>
      <c r="AR269" s="27" t="s">
        <v>94</v>
      </c>
      <c r="AS269" s="27">
        <v>900</v>
      </c>
      <c r="AT269" s="29">
        <v>41</v>
      </c>
      <c r="AU269" s="29" t="s">
        <v>100</v>
      </c>
      <c r="AV269" s="31">
        <v>42</v>
      </c>
      <c r="AW269" s="31" t="s">
        <v>100</v>
      </c>
      <c r="AX269" s="209"/>
      <c r="AY269" s="285"/>
      <c r="AZ269" s="285"/>
      <c r="BA269" s="286"/>
      <c r="BB269" s="286"/>
      <c r="BC269" s="44" t="s">
        <v>204</v>
      </c>
      <c r="BD269" s="33" t="s">
        <v>103</v>
      </c>
      <c r="BE269" s="271" t="s">
        <v>104</v>
      </c>
      <c r="BF269" s="271" t="s">
        <v>105</v>
      </c>
      <c r="BG269" s="269">
        <v>0</v>
      </c>
      <c r="BH269" s="42">
        <v>24000</v>
      </c>
      <c r="BI269" s="47" t="s">
        <v>100</v>
      </c>
      <c r="BJ269" s="32" t="s">
        <v>309</v>
      </c>
      <c r="BK269" s="32">
        <v>500</v>
      </c>
      <c r="BL269" s="26" t="s">
        <v>106</v>
      </c>
      <c r="BM269" s="26" t="s">
        <v>107</v>
      </c>
      <c r="BN269" s="209">
        <v>0</v>
      </c>
      <c r="BO269" s="26" t="s">
        <v>108</v>
      </c>
      <c r="BP269" s="34" t="s">
        <v>109</v>
      </c>
      <c r="BQ269" s="209">
        <v>4000</v>
      </c>
      <c r="BR269" s="26" t="s">
        <v>108</v>
      </c>
      <c r="BS269" s="34" t="s">
        <v>110</v>
      </c>
      <c r="BT269" s="209">
        <v>5500</v>
      </c>
      <c r="BU269" s="211">
        <v>11000</v>
      </c>
      <c r="BV269" s="212" t="s">
        <v>100</v>
      </c>
      <c r="BW269" s="212" t="s">
        <v>286</v>
      </c>
      <c r="BX269" s="213" t="s">
        <v>100</v>
      </c>
      <c r="BY269" s="213" t="s">
        <v>100</v>
      </c>
      <c r="BZ269" s="45">
        <v>2000</v>
      </c>
    </row>
    <row r="270" spans="3:78" ht="25.5">
      <c r="C270" s="1"/>
      <c r="D270" s="296"/>
      <c r="E270" s="299"/>
      <c r="F270" s="302"/>
      <c r="G270" s="74">
        <v>420</v>
      </c>
      <c r="H270" s="62">
        <v>335</v>
      </c>
      <c r="I270" s="62">
        <v>10000</v>
      </c>
      <c r="J270" s="62">
        <v>10000</v>
      </c>
      <c r="K270" s="62">
        <v>50</v>
      </c>
      <c r="L270" s="62">
        <v>25</v>
      </c>
      <c r="M270" s="84" t="s">
        <v>229</v>
      </c>
      <c r="N270" s="63">
        <f t="shared" si="4"/>
        <v>188164.8</v>
      </c>
      <c r="O270" s="62" t="s">
        <v>89</v>
      </c>
      <c r="P270" s="62">
        <v>8</v>
      </c>
      <c r="Q270" s="64" t="s">
        <v>198</v>
      </c>
      <c r="R270" s="64" t="s">
        <v>91</v>
      </c>
      <c r="S270" s="64" t="s">
        <v>199</v>
      </c>
      <c r="T270" s="65" t="s">
        <v>92</v>
      </c>
      <c r="U270" s="65" t="s">
        <v>93</v>
      </c>
      <c r="V270" s="62" t="s">
        <v>99</v>
      </c>
      <c r="W270" s="62">
        <v>31</v>
      </c>
      <c r="X270" s="66" t="s">
        <v>95</v>
      </c>
      <c r="Y270" s="66" t="s">
        <v>96</v>
      </c>
      <c r="Z270" s="87">
        <v>6000</v>
      </c>
      <c r="AA270" s="84" t="s">
        <v>208</v>
      </c>
      <c r="AB270" s="87">
        <v>2700</v>
      </c>
      <c r="AC270" s="62" t="s">
        <v>97</v>
      </c>
      <c r="AD270" s="75" t="s">
        <v>97</v>
      </c>
      <c r="AE270" s="35"/>
      <c r="AF270" s="37">
        <f t="shared" si="5"/>
        <v>176875.19999999998</v>
      </c>
      <c r="AG270" s="29" t="s">
        <v>98</v>
      </c>
      <c r="AH270" s="226">
        <v>18620</v>
      </c>
      <c r="AI270" s="48" t="s">
        <v>229</v>
      </c>
      <c r="AJ270" s="39">
        <v>6000</v>
      </c>
      <c r="AK270" s="39" t="s">
        <v>208</v>
      </c>
      <c r="AL270" s="39">
        <v>2700</v>
      </c>
      <c r="AM270" s="30" t="s">
        <v>99</v>
      </c>
      <c r="AN270" s="40">
        <v>55100</v>
      </c>
      <c r="AO270" s="41" t="s">
        <v>333</v>
      </c>
      <c r="AP270" s="41" t="s">
        <v>334</v>
      </c>
      <c r="AQ270" s="27">
        <v>3000</v>
      </c>
      <c r="AR270" s="27" t="s">
        <v>94</v>
      </c>
      <c r="AS270" s="27">
        <v>900</v>
      </c>
      <c r="AT270" s="29">
        <v>41</v>
      </c>
      <c r="AU270" s="29" t="s">
        <v>100</v>
      </c>
      <c r="AV270" s="31">
        <v>42</v>
      </c>
      <c r="AW270" s="31" t="s">
        <v>100</v>
      </c>
      <c r="AX270" s="209"/>
      <c r="AY270" s="285"/>
      <c r="AZ270" s="285"/>
      <c r="BA270" s="286"/>
      <c r="BB270" s="286"/>
      <c r="BC270" s="44" t="s">
        <v>204</v>
      </c>
      <c r="BD270" s="33" t="s">
        <v>103</v>
      </c>
      <c r="BE270" s="271" t="s">
        <v>104</v>
      </c>
      <c r="BF270" s="271" t="s">
        <v>105</v>
      </c>
      <c r="BG270" s="269">
        <v>0</v>
      </c>
      <c r="BH270" s="42">
        <v>24000</v>
      </c>
      <c r="BI270" s="47" t="s">
        <v>100</v>
      </c>
      <c r="BJ270" s="32" t="s">
        <v>309</v>
      </c>
      <c r="BK270" s="32">
        <v>500</v>
      </c>
      <c r="BL270" s="26" t="s">
        <v>106</v>
      </c>
      <c r="BM270" s="26" t="s">
        <v>107</v>
      </c>
      <c r="BN270" s="209">
        <v>0</v>
      </c>
      <c r="BO270" s="26" t="s">
        <v>108</v>
      </c>
      <c r="BP270" s="34" t="s">
        <v>109</v>
      </c>
      <c r="BQ270" s="209">
        <v>4000</v>
      </c>
      <c r="BR270" s="26" t="s">
        <v>108</v>
      </c>
      <c r="BS270" s="34" t="s">
        <v>110</v>
      </c>
      <c r="BT270" s="209">
        <v>5500</v>
      </c>
      <c r="BU270" s="211">
        <v>11000</v>
      </c>
      <c r="BV270" s="212" t="s">
        <v>100</v>
      </c>
      <c r="BW270" s="212" t="s">
        <v>286</v>
      </c>
      <c r="BX270" s="213" t="s">
        <v>100</v>
      </c>
      <c r="BY270" s="213" t="s">
        <v>100</v>
      </c>
      <c r="BZ270" s="45">
        <v>2000</v>
      </c>
    </row>
    <row r="271" spans="3:78" ht="25.5">
      <c r="C271" s="1"/>
      <c r="D271" s="296"/>
      <c r="E271" s="299"/>
      <c r="F271" s="302"/>
      <c r="G271" s="74">
        <v>445</v>
      </c>
      <c r="H271" s="62">
        <v>355</v>
      </c>
      <c r="I271" s="62">
        <v>10000</v>
      </c>
      <c r="J271" s="62">
        <v>10000</v>
      </c>
      <c r="K271" s="62">
        <v>50</v>
      </c>
      <c r="L271" s="62">
        <v>27</v>
      </c>
      <c r="M271" s="84" t="s">
        <v>229</v>
      </c>
      <c r="N271" s="63">
        <f t="shared" si="4"/>
        <v>189394.56</v>
      </c>
      <c r="O271" s="62" t="s">
        <v>89</v>
      </c>
      <c r="P271" s="62">
        <v>8</v>
      </c>
      <c r="Q271" s="64" t="s">
        <v>198</v>
      </c>
      <c r="R271" s="64" t="s">
        <v>91</v>
      </c>
      <c r="S271" s="64" t="s">
        <v>199</v>
      </c>
      <c r="T271" s="65" t="s">
        <v>92</v>
      </c>
      <c r="U271" s="65" t="s">
        <v>93</v>
      </c>
      <c r="V271" s="62" t="s">
        <v>99</v>
      </c>
      <c r="W271" s="62">
        <v>31</v>
      </c>
      <c r="X271" s="66" t="s">
        <v>95</v>
      </c>
      <c r="Y271" s="66" t="s">
        <v>96</v>
      </c>
      <c r="Z271" s="87">
        <v>6000</v>
      </c>
      <c r="AA271" s="84" t="s">
        <v>208</v>
      </c>
      <c r="AB271" s="87">
        <v>2700</v>
      </c>
      <c r="AC271" s="62" t="s">
        <v>97</v>
      </c>
      <c r="AD271" s="75" t="s">
        <v>97</v>
      </c>
      <c r="AE271" s="35"/>
      <c r="AF271" s="37">
        <f t="shared" si="5"/>
        <v>178031.03999999998</v>
      </c>
      <c r="AG271" s="29" t="s">
        <v>98</v>
      </c>
      <c r="AH271" s="226">
        <v>18742</v>
      </c>
      <c r="AI271" s="48" t="s">
        <v>229</v>
      </c>
      <c r="AJ271" s="39">
        <v>6000</v>
      </c>
      <c r="AK271" s="39" t="s">
        <v>208</v>
      </c>
      <c r="AL271" s="39">
        <v>2700</v>
      </c>
      <c r="AM271" s="30" t="s">
        <v>99</v>
      </c>
      <c r="AN271" s="40">
        <v>55100</v>
      </c>
      <c r="AO271" s="41" t="s">
        <v>333</v>
      </c>
      <c r="AP271" s="41" t="s">
        <v>334</v>
      </c>
      <c r="AQ271" s="27">
        <v>3000</v>
      </c>
      <c r="AR271" s="27" t="s">
        <v>94</v>
      </c>
      <c r="AS271" s="27">
        <v>900</v>
      </c>
      <c r="AT271" s="29">
        <v>41</v>
      </c>
      <c r="AU271" s="29" t="s">
        <v>100</v>
      </c>
      <c r="AV271" s="31">
        <v>42</v>
      </c>
      <c r="AW271" s="31" t="s">
        <v>100</v>
      </c>
      <c r="AX271" s="209"/>
      <c r="AY271" s="285"/>
      <c r="AZ271" s="285"/>
      <c r="BA271" s="286"/>
      <c r="BB271" s="286"/>
      <c r="BC271" s="44" t="s">
        <v>204</v>
      </c>
      <c r="BD271" s="33" t="s">
        <v>103</v>
      </c>
      <c r="BE271" s="271" t="s">
        <v>104</v>
      </c>
      <c r="BF271" s="271" t="s">
        <v>105</v>
      </c>
      <c r="BG271" s="269">
        <v>0</v>
      </c>
      <c r="BH271" s="42">
        <v>24000</v>
      </c>
      <c r="BI271" s="47" t="s">
        <v>100</v>
      </c>
      <c r="BJ271" s="32" t="s">
        <v>309</v>
      </c>
      <c r="BK271" s="32">
        <v>500</v>
      </c>
      <c r="BL271" s="26" t="s">
        <v>106</v>
      </c>
      <c r="BM271" s="26" t="s">
        <v>107</v>
      </c>
      <c r="BN271" s="209">
        <v>0</v>
      </c>
      <c r="BO271" s="26" t="s">
        <v>108</v>
      </c>
      <c r="BP271" s="34" t="s">
        <v>109</v>
      </c>
      <c r="BQ271" s="209">
        <v>4000</v>
      </c>
      <c r="BR271" s="26" t="s">
        <v>108</v>
      </c>
      <c r="BS271" s="34" t="s">
        <v>110</v>
      </c>
      <c r="BT271" s="209">
        <v>5500</v>
      </c>
      <c r="BU271" s="211">
        <v>11000</v>
      </c>
      <c r="BV271" s="212" t="s">
        <v>100</v>
      </c>
      <c r="BW271" s="212" t="s">
        <v>286</v>
      </c>
      <c r="BX271" s="213" t="s">
        <v>100</v>
      </c>
      <c r="BY271" s="213" t="s">
        <v>100</v>
      </c>
      <c r="BZ271" s="45">
        <v>2000</v>
      </c>
    </row>
    <row r="272" spans="3:78" ht="25.5">
      <c r="C272" s="1"/>
      <c r="D272" s="296"/>
      <c r="E272" s="299"/>
      <c r="F272" s="302"/>
      <c r="G272" s="74">
        <v>470</v>
      </c>
      <c r="H272" s="62">
        <v>375</v>
      </c>
      <c r="I272" s="62">
        <v>10000</v>
      </c>
      <c r="J272" s="62">
        <v>10000</v>
      </c>
      <c r="K272" s="62">
        <v>50</v>
      </c>
      <c r="L272" s="62">
        <v>28</v>
      </c>
      <c r="M272" s="84" t="s">
        <v>229</v>
      </c>
      <c r="N272" s="63">
        <f t="shared" si="4"/>
        <v>190378.56</v>
      </c>
      <c r="O272" s="62" t="s">
        <v>89</v>
      </c>
      <c r="P272" s="62">
        <v>8</v>
      </c>
      <c r="Q272" s="64" t="s">
        <v>198</v>
      </c>
      <c r="R272" s="64" t="s">
        <v>91</v>
      </c>
      <c r="S272" s="64" t="s">
        <v>199</v>
      </c>
      <c r="T272" s="65" t="s">
        <v>92</v>
      </c>
      <c r="U272" s="65" t="s">
        <v>93</v>
      </c>
      <c r="V272" s="62" t="s">
        <v>99</v>
      </c>
      <c r="W272" s="62">
        <v>31</v>
      </c>
      <c r="X272" s="66" t="s">
        <v>95</v>
      </c>
      <c r="Y272" s="66" t="s">
        <v>96</v>
      </c>
      <c r="Z272" s="87">
        <v>6000</v>
      </c>
      <c r="AA272" s="84" t="s">
        <v>208</v>
      </c>
      <c r="AB272" s="87">
        <v>2700</v>
      </c>
      <c r="AC272" s="62" t="s">
        <v>97</v>
      </c>
      <c r="AD272" s="75" t="s">
        <v>97</v>
      </c>
      <c r="AE272" s="35"/>
      <c r="AF272" s="37">
        <f t="shared" si="5"/>
        <v>178955.51999999999</v>
      </c>
      <c r="AG272" s="29" t="s">
        <v>98</v>
      </c>
      <c r="AH272" s="226">
        <v>18840</v>
      </c>
      <c r="AI272" s="48" t="s">
        <v>229</v>
      </c>
      <c r="AJ272" s="39">
        <v>6000</v>
      </c>
      <c r="AK272" s="39" t="s">
        <v>208</v>
      </c>
      <c r="AL272" s="39">
        <v>2700</v>
      </c>
      <c r="AM272" s="30" t="s">
        <v>99</v>
      </c>
      <c r="AN272" s="40">
        <v>55100</v>
      </c>
      <c r="AO272" s="41" t="s">
        <v>333</v>
      </c>
      <c r="AP272" s="41" t="s">
        <v>334</v>
      </c>
      <c r="AQ272" s="27">
        <v>3000</v>
      </c>
      <c r="AR272" s="27" t="s">
        <v>94</v>
      </c>
      <c r="AS272" s="27">
        <v>900</v>
      </c>
      <c r="AT272" s="29">
        <v>41</v>
      </c>
      <c r="AU272" s="29" t="s">
        <v>100</v>
      </c>
      <c r="AV272" s="31">
        <v>42</v>
      </c>
      <c r="AW272" s="31" t="s">
        <v>100</v>
      </c>
      <c r="AX272" s="209"/>
      <c r="AY272" s="285"/>
      <c r="AZ272" s="285"/>
      <c r="BA272" s="286"/>
      <c r="BB272" s="286"/>
      <c r="BC272" s="44" t="s">
        <v>204</v>
      </c>
      <c r="BD272" s="33" t="s">
        <v>103</v>
      </c>
      <c r="BE272" s="271" t="s">
        <v>104</v>
      </c>
      <c r="BF272" s="271" t="s">
        <v>105</v>
      </c>
      <c r="BG272" s="269">
        <v>0</v>
      </c>
      <c r="BH272" s="42">
        <v>24000</v>
      </c>
      <c r="BI272" s="47" t="s">
        <v>100</v>
      </c>
      <c r="BJ272" s="32" t="s">
        <v>309</v>
      </c>
      <c r="BK272" s="32">
        <v>500</v>
      </c>
      <c r="BL272" s="26" t="s">
        <v>106</v>
      </c>
      <c r="BM272" s="26" t="s">
        <v>107</v>
      </c>
      <c r="BN272" s="209">
        <v>0</v>
      </c>
      <c r="BO272" s="26" t="s">
        <v>108</v>
      </c>
      <c r="BP272" s="34" t="s">
        <v>109</v>
      </c>
      <c r="BQ272" s="209">
        <v>4000</v>
      </c>
      <c r="BR272" s="26" t="s">
        <v>108</v>
      </c>
      <c r="BS272" s="34" t="s">
        <v>110</v>
      </c>
      <c r="BT272" s="209">
        <v>5500</v>
      </c>
      <c r="BU272" s="211">
        <v>11000</v>
      </c>
      <c r="BV272" s="212" t="s">
        <v>100</v>
      </c>
      <c r="BW272" s="212" t="s">
        <v>286</v>
      </c>
      <c r="BX272" s="213" t="s">
        <v>100</v>
      </c>
      <c r="BY272" s="213" t="s">
        <v>100</v>
      </c>
      <c r="BZ272" s="45">
        <v>2000</v>
      </c>
    </row>
    <row r="273" spans="3:78" ht="26.25" thickBot="1">
      <c r="C273" s="1"/>
      <c r="D273" s="296"/>
      <c r="E273" s="299"/>
      <c r="F273" s="302"/>
      <c r="G273" s="74">
        <v>500</v>
      </c>
      <c r="H273" s="62">
        <v>400</v>
      </c>
      <c r="I273" s="62">
        <v>10000</v>
      </c>
      <c r="J273" s="62">
        <v>10000</v>
      </c>
      <c r="K273" s="62">
        <v>50</v>
      </c>
      <c r="L273" s="62">
        <v>29</v>
      </c>
      <c r="M273" s="84" t="s">
        <v>229</v>
      </c>
      <c r="N273" s="63">
        <f t="shared" si="4"/>
        <v>190378.56</v>
      </c>
      <c r="O273" s="62" t="s">
        <v>89</v>
      </c>
      <c r="P273" s="62">
        <v>8</v>
      </c>
      <c r="Q273" s="64" t="s">
        <v>198</v>
      </c>
      <c r="R273" s="64" t="s">
        <v>91</v>
      </c>
      <c r="S273" s="64" t="s">
        <v>199</v>
      </c>
      <c r="T273" s="65" t="s">
        <v>92</v>
      </c>
      <c r="U273" s="65" t="s">
        <v>93</v>
      </c>
      <c r="V273" s="62" t="s">
        <v>99</v>
      </c>
      <c r="W273" s="62">
        <v>31</v>
      </c>
      <c r="X273" s="66" t="s">
        <v>95</v>
      </c>
      <c r="Y273" s="66" t="s">
        <v>96</v>
      </c>
      <c r="Z273" s="87">
        <v>6000</v>
      </c>
      <c r="AA273" s="84" t="s">
        <v>208</v>
      </c>
      <c r="AB273" s="87">
        <v>2700</v>
      </c>
      <c r="AC273" s="62" t="s">
        <v>97</v>
      </c>
      <c r="AD273" s="75" t="s">
        <v>97</v>
      </c>
      <c r="AE273" s="35"/>
      <c r="AF273" s="37">
        <f t="shared" si="5"/>
        <v>178955.51999999999</v>
      </c>
      <c r="AG273" s="29" t="s">
        <v>98</v>
      </c>
      <c r="AH273" s="218">
        <v>18840</v>
      </c>
      <c r="AI273" s="219" t="s">
        <v>229</v>
      </c>
      <c r="AJ273" s="220">
        <v>6000</v>
      </c>
      <c r="AK273" s="220" t="s">
        <v>208</v>
      </c>
      <c r="AL273" s="220">
        <v>2700</v>
      </c>
      <c r="AM273" s="221" t="s">
        <v>99</v>
      </c>
      <c r="AN273" s="40">
        <v>55100</v>
      </c>
      <c r="AO273" s="41" t="s">
        <v>333</v>
      </c>
      <c r="AP273" s="41" t="s">
        <v>334</v>
      </c>
      <c r="AQ273" s="27">
        <v>3000</v>
      </c>
      <c r="AR273" s="27" t="s">
        <v>94</v>
      </c>
      <c r="AS273" s="27">
        <v>900</v>
      </c>
      <c r="AT273" s="29">
        <v>41</v>
      </c>
      <c r="AU273" s="29" t="s">
        <v>100</v>
      </c>
      <c r="AV273" s="31">
        <v>42</v>
      </c>
      <c r="AW273" s="31" t="s">
        <v>100</v>
      </c>
      <c r="AX273" s="209"/>
      <c r="AY273" s="285"/>
      <c r="AZ273" s="285"/>
      <c r="BA273" s="286"/>
      <c r="BB273" s="286"/>
      <c r="BC273" s="44" t="s">
        <v>204</v>
      </c>
      <c r="BD273" s="33" t="s">
        <v>103</v>
      </c>
      <c r="BE273" s="271" t="s">
        <v>104</v>
      </c>
      <c r="BF273" s="271" t="s">
        <v>105</v>
      </c>
      <c r="BG273" s="269">
        <v>0</v>
      </c>
      <c r="BH273" s="42">
        <v>24000</v>
      </c>
      <c r="BI273" s="47" t="s">
        <v>100</v>
      </c>
      <c r="BJ273" s="32" t="s">
        <v>309</v>
      </c>
      <c r="BK273" s="32">
        <v>500</v>
      </c>
      <c r="BL273" s="26" t="s">
        <v>106</v>
      </c>
      <c r="BM273" s="26" t="s">
        <v>107</v>
      </c>
      <c r="BN273" s="209">
        <v>0</v>
      </c>
      <c r="BO273" s="26" t="s">
        <v>108</v>
      </c>
      <c r="BP273" s="34" t="s">
        <v>109</v>
      </c>
      <c r="BQ273" s="209">
        <v>4000</v>
      </c>
      <c r="BR273" s="26" t="s">
        <v>108</v>
      </c>
      <c r="BS273" s="34" t="s">
        <v>110</v>
      </c>
      <c r="BT273" s="209">
        <v>5500</v>
      </c>
      <c r="BU273" s="211">
        <v>11000</v>
      </c>
      <c r="BV273" s="212" t="s">
        <v>100</v>
      </c>
      <c r="BW273" s="212" t="s">
        <v>286</v>
      </c>
      <c r="BX273" s="213" t="s">
        <v>100</v>
      </c>
      <c r="BY273" s="213" t="s">
        <v>100</v>
      </c>
      <c r="BZ273" s="45">
        <v>2000</v>
      </c>
    </row>
    <row r="274" spans="3:78" ht="25.5">
      <c r="C274" s="1"/>
      <c r="D274" s="296"/>
      <c r="E274" s="299"/>
      <c r="F274" s="302"/>
      <c r="G274" s="74">
        <v>565</v>
      </c>
      <c r="H274" s="62">
        <v>450</v>
      </c>
      <c r="I274" s="62">
        <v>10000</v>
      </c>
      <c r="J274" s="62">
        <v>10000</v>
      </c>
      <c r="K274" s="62">
        <v>50</v>
      </c>
      <c r="L274" s="62">
        <v>34</v>
      </c>
      <c r="M274" s="84" t="s">
        <v>229</v>
      </c>
      <c r="N274" s="63">
        <f t="shared" si="4"/>
        <v>192057.60000000001</v>
      </c>
      <c r="O274" s="62" t="s">
        <v>89</v>
      </c>
      <c r="P274" s="62">
        <v>8</v>
      </c>
      <c r="Q274" s="64" t="s">
        <v>198</v>
      </c>
      <c r="R274" s="64" t="s">
        <v>91</v>
      </c>
      <c r="S274" s="64" t="s">
        <v>199</v>
      </c>
      <c r="T274" s="65" t="s">
        <v>92</v>
      </c>
      <c r="U274" s="65" t="s">
        <v>93</v>
      </c>
      <c r="V274" s="62" t="s">
        <v>99</v>
      </c>
      <c r="W274" s="62">
        <v>31</v>
      </c>
      <c r="X274" s="66" t="s">
        <v>95</v>
      </c>
      <c r="Y274" s="66" t="s">
        <v>96</v>
      </c>
      <c r="Z274" s="87">
        <v>6000</v>
      </c>
      <c r="AA274" s="84" t="s">
        <v>208</v>
      </c>
      <c r="AB274" s="87">
        <v>2700</v>
      </c>
      <c r="AC274" s="62" t="s">
        <v>97</v>
      </c>
      <c r="AD274" s="75" t="s">
        <v>97</v>
      </c>
      <c r="AE274" s="35"/>
      <c r="AF274" s="37">
        <f t="shared" si="5"/>
        <v>180533.75999999998</v>
      </c>
      <c r="AG274" s="29" t="s">
        <v>98</v>
      </c>
      <c r="AH274" s="222">
        <v>19006</v>
      </c>
      <c r="AI274" s="223" t="s">
        <v>230</v>
      </c>
      <c r="AJ274" s="224">
        <v>8000</v>
      </c>
      <c r="AK274" s="224" t="s">
        <v>209</v>
      </c>
      <c r="AL274" s="224">
        <v>3100</v>
      </c>
      <c r="AM274" s="225" t="s">
        <v>99</v>
      </c>
      <c r="AN274" s="40">
        <v>55100</v>
      </c>
      <c r="AO274" s="41" t="s">
        <v>333</v>
      </c>
      <c r="AP274" s="41" t="s">
        <v>334</v>
      </c>
      <c r="AQ274" s="27">
        <v>3000</v>
      </c>
      <c r="AR274" s="27" t="s">
        <v>94</v>
      </c>
      <c r="AS274" s="27">
        <v>900</v>
      </c>
      <c r="AT274" s="29">
        <v>41</v>
      </c>
      <c r="AU274" s="29" t="s">
        <v>100</v>
      </c>
      <c r="AV274" s="31">
        <v>42</v>
      </c>
      <c r="AW274" s="31" t="s">
        <v>100</v>
      </c>
      <c r="AX274" s="209"/>
      <c r="AY274" s="285"/>
      <c r="AZ274" s="285"/>
      <c r="BA274" s="286"/>
      <c r="BB274" s="286"/>
      <c r="BC274" s="44" t="s">
        <v>204</v>
      </c>
      <c r="BD274" s="33" t="s">
        <v>103</v>
      </c>
      <c r="BE274" s="271" t="s">
        <v>104</v>
      </c>
      <c r="BF274" s="271" t="s">
        <v>105</v>
      </c>
      <c r="BG274" s="269">
        <v>0</v>
      </c>
      <c r="BH274" s="42">
        <v>24000</v>
      </c>
      <c r="BI274" s="47" t="s">
        <v>100</v>
      </c>
      <c r="BJ274" s="32" t="s">
        <v>309</v>
      </c>
      <c r="BK274" s="32">
        <v>500</v>
      </c>
      <c r="BL274" s="26" t="s">
        <v>106</v>
      </c>
      <c r="BM274" s="26" t="s">
        <v>107</v>
      </c>
      <c r="BN274" s="209">
        <v>0</v>
      </c>
      <c r="BO274" s="26" t="s">
        <v>108</v>
      </c>
      <c r="BP274" s="34" t="s">
        <v>109</v>
      </c>
      <c r="BQ274" s="209">
        <v>4000</v>
      </c>
      <c r="BR274" s="26" t="s">
        <v>108</v>
      </c>
      <c r="BS274" s="34" t="s">
        <v>110</v>
      </c>
      <c r="BT274" s="209">
        <v>5500</v>
      </c>
      <c r="BU274" s="211">
        <v>11000</v>
      </c>
      <c r="BV274" s="212" t="s">
        <v>100</v>
      </c>
      <c r="BW274" s="212" t="s">
        <v>286</v>
      </c>
      <c r="BX274" s="213" t="s">
        <v>100</v>
      </c>
      <c r="BY274" s="213" t="s">
        <v>100</v>
      </c>
      <c r="BZ274" s="45">
        <v>2000</v>
      </c>
    </row>
    <row r="275" spans="3:78" ht="25.5">
      <c r="C275" s="36"/>
      <c r="D275" s="296"/>
      <c r="E275" s="299"/>
      <c r="F275" s="302"/>
      <c r="G275" s="74">
        <v>595</v>
      </c>
      <c r="H275" s="62">
        <v>475</v>
      </c>
      <c r="I275" s="62">
        <v>10000</v>
      </c>
      <c r="J275" s="62">
        <v>10000</v>
      </c>
      <c r="K275" s="62">
        <v>50</v>
      </c>
      <c r="L275" s="62">
        <v>36</v>
      </c>
      <c r="M275" s="84" t="s">
        <v>229</v>
      </c>
      <c r="N275" s="63">
        <f t="shared" si="4"/>
        <v>198618.23999999999</v>
      </c>
      <c r="O275" s="62" t="s">
        <v>89</v>
      </c>
      <c r="P275" s="62">
        <v>8</v>
      </c>
      <c r="Q275" s="64" t="s">
        <v>198</v>
      </c>
      <c r="R275" s="64" t="s">
        <v>91</v>
      </c>
      <c r="S275" s="64" t="s">
        <v>199</v>
      </c>
      <c r="T275" s="65" t="s">
        <v>92</v>
      </c>
      <c r="U275" s="65" t="s">
        <v>93</v>
      </c>
      <c r="V275" s="62" t="s">
        <v>99</v>
      </c>
      <c r="W275" s="62">
        <v>31</v>
      </c>
      <c r="X275" s="66" t="s">
        <v>95</v>
      </c>
      <c r="Y275" s="66" t="s">
        <v>96</v>
      </c>
      <c r="Z275" s="87">
        <v>6000</v>
      </c>
      <c r="AA275" s="84" t="s">
        <v>208</v>
      </c>
      <c r="AB275" s="87">
        <v>2700</v>
      </c>
      <c r="AC275" s="62" t="s">
        <v>97</v>
      </c>
      <c r="AD275" s="75" t="s">
        <v>97</v>
      </c>
      <c r="AE275" s="35"/>
      <c r="AF275" s="37">
        <f t="shared" si="5"/>
        <v>186700.79999999999</v>
      </c>
      <c r="AG275" s="29" t="s">
        <v>98</v>
      </c>
      <c r="AH275" s="226">
        <v>19655</v>
      </c>
      <c r="AI275" s="48" t="s">
        <v>230</v>
      </c>
      <c r="AJ275" s="39">
        <v>8000</v>
      </c>
      <c r="AK275" s="39" t="s">
        <v>209</v>
      </c>
      <c r="AL275" s="39">
        <v>3100</v>
      </c>
      <c r="AM275" s="30" t="s">
        <v>99</v>
      </c>
      <c r="AN275" s="40">
        <v>55100</v>
      </c>
      <c r="AO275" s="41" t="s">
        <v>333</v>
      </c>
      <c r="AP275" s="41" t="s">
        <v>334</v>
      </c>
      <c r="AQ275" s="27">
        <v>3000</v>
      </c>
      <c r="AR275" s="27" t="s">
        <v>94</v>
      </c>
      <c r="AS275" s="27">
        <v>900</v>
      </c>
      <c r="AT275" s="29">
        <v>41</v>
      </c>
      <c r="AU275" s="29" t="s">
        <v>100</v>
      </c>
      <c r="AV275" s="31">
        <v>42</v>
      </c>
      <c r="AW275" s="31" t="s">
        <v>100</v>
      </c>
      <c r="AX275" s="209"/>
      <c r="AY275" s="285"/>
      <c r="AZ275" s="285"/>
      <c r="BA275" s="286"/>
      <c r="BB275" s="286"/>
      <c r="BC275" s="44" t="s">
        <v>204</v>
      </c>
      <c r="BD275" s="33" t="s">
        <v>103</v>
      </c>
      <c r="BE275" s="271" t="s">
        <v>104</v>
      </c>
      <c r="BF275" s="271" t="s">
        <v>105</v>
      </c>
      <c r="BG275" s="269">
        <v>0</v>
      </c>
      <c r="BH275" s="42">
        <v>24000</v>
      </c>
      <c r="BI275" s="47" t="s">
        <v>100</v>
      </c>
      <c r="BJ275" s="32" t="s">
        <v>309</v>
      </c>
      <c r="BK275" s="32">
        <v>500</v>
      </c>
      <c r="BL275" s="26" t="s">
        <v>106</v>
      </c>
      <c r="BM275" s="26" t="s">
        <v>107</v>
      </c>
      <c r="BN275" s="209">
        <v>0</v>
      </c>
      <c r="BO275" s="26" t="s">
        <v>108</v>
      </c>
      <c r="BP275" s="34" t="s">
        <v>109</v>
      </c>
      <c r="BQ275" s="209">
        <v>4000</v>
      </c>
      <c r="BR275" s="26" t="s">
        <v>108</v>
      </c>
      <c r="BS275" s="34" t="s">
        <v>110</v>
      </c>
      <c r="BT275" s="209">
        <v>5500</v>
      </c>
      <c r="BU275" s="211">
        <v>11000</v>
      </c>
      <c r="BV275" s="212" t="s">
        <v>100</v>
      </c>
      <c r="BW275" s="212" t="s">
        <v>286</v>
      </c>
      <c r="BX275" s="213" t="s">
        <v>100</v>
      </c>
      <c r="BY275" s="213" t="s">
        <v>100</v>
      </c>
      <c r="BZ275" s="45">
        <v>2000</v>
      </c>
    </row>
    <row r="276" spans="3:78" ht="25.5">
      <c r="C276" s="36"/>
      <c r="D276" s="296"/>
      <c r="E276" s="299"/>
      <c r="F276" s="302"/>
      <c r="G276" s="74">
        <v>625</v>
      </c>
      <c r="H276" s="62">
        <v>500</v>
      </c>
      <c r="I276" s="62">
        <v>10000</v>
      </c>
      <c r="J276" s="62">
        <v>10000</v>
      </c>
      <c r="K276" s="62">
        <v>50</v>
      </c>
      <c r="L276" s="62">
        <v>38</v>
      </c>
      <c r="M276" s="84" t="s">
        <v>229</v>
      </c>
      <c r="N276" s="63">
        <f t="shared" si="4"/>
        <v>200303.03999999998</v>
      </c>
      <c r="O276" s="62" t="s">
        <v>89</v>
      </c>
      <c r="P276" s="62">
        <v>8</v>
      </c>
      <c r="Q276" s="64" t="s">
        <v>198</v>
      </c>
      <c r="R276" s="64" t="s">
        <v>91</v>
      </c>
      <c r="S276" s="64" t="s">
        <v>199</v>
      </c>
      <c r="T276" s="65" t="s">
        <v>92</v>
      </c>
      <c r="U276" s="65" t="s">
        <v>93</v>
      </c>
      <c r="V276" s="62" t="s">
        <v>99</v>
      </c>
      <c r="W276" s="62">
        <v>31</v>
      </c>
      <c r="X276" s="66" t="s">
        <v>95</v>
      </c>
      <c r="Y276" s="66" t="s">
        <v>96</v>
      </c>
      <c r="Z276" s="87">
        <v>6000</v>
      </c>
      <c r="AA276" s="84" t="s">
        <v>208</v>
      </c>
      <c r="AB276" s="87">
        <v>2700</v>
      </c>
      <c r="AC276" s="62" t="s">
        <v>97</v>
      </c>
      <c r="AD276" s="75" t="s">
        <v>97</v>
      </c>
      <c r="AE276" s="35"/>
      <c r="AF276" s="37">
        <f t="shared" si="5"/>
        <v>188284.79999999999</v>
      </c>
      <c r="AG276" s="29" t="s">
        <v>98</v>
      </c>
      <c r="AH276" s="226">
        <v>19822</v>
      </c>
      <c r="AI276" s="48" t="s">
        <v>230</v>
      </c>
      <c r="AJ276" s="39">
        <v>8000</v>
      </c>
      <c r="AK276" s="39" t="s">
        <v>209</v>
      </c>
      <c r="AL276" s="39">
        <v>3100</v>
      </c>
      <c r="AM276" s="30" t="s">
        <v>99</v>
      </c>
      <c r="AN276" s="40">
        <v>55100</v>
      </c>
      <c r="AO276" s="41" t="s">
        <v>333</v>
      </c>
      <c r="AP276" s="41" t="s">
        <v>334</v>
      </c>
      <c r="AQ276" s="27">
        <v>3000</v>
      </c>
      <c r="AR276" s="27" t="s">
        <v>94</v>
      </c>
      <c r="AS276" s="27">
        <v>900</v>
      </c>
      <c r="AT276" s="29">
        <v>41</v>
      </c>
      <c r="AU276" s="29" t="s">
        <v>100</v>
      </c>
      <c r="AV276" s="31">
        <v>42</v>
      </c>
      <c r="AW276" s="31" t="s">
        <v>100</v>
      </c>
      <c r="AX276" s="209"/>
      <c r="AY276" s="285"/>
      <c r="AZ276" s="285"/>
      <c r="BA276" s="286"/>
      <c r="BB276" s="286"/>
      <c r="BC276" s="44" t="s">
        <v>204</v>
      </c>
      <c r="BD276" s="33" t="s">
        <v>103</v>
      </c>
      <c r="BE276" s="271" t="s">
        <v>104</v>
      </c>
      <c r="BF276" s="271" t="s">
        <v>105</v>
      </c>
      <c r="BG276" s="269">
        <v>0</v>
      </c>
      <c r="BH276" s="42">
        <v>24000</v>
      </c>
      <c r="BI276" s="47" t="s">
        <v>100</v>
      </c>
      <c r="BJ276" s="32" t="s">
        <v>309</v>
      </c>
      <c r="BK276" s="32">
        <v>500</v>
      </c>
      <c r="BL276" s="26" t="s">
        <v>106</v>
      </c>
      <c r="BM276" s="26" t="s">
        <v>107</v>
      </c>
      <c r="BN276" s="209">
        <v>0</v>
      </c>
      <c r="BO276" s="26" t="s">
        <v>108</v>
      </c>
      <c r="BP276" s="34" t="s">
        <v>109</v>
      </c>
      <c r="BQ276" s="209">
        <v>4000</v>
      </c>
      <c r="BR276" s="26" t="s">
        <v>108</v>
      </c>
      <c r="BS276" s="34" t="s">
        <v>110</v>
      </c>
      <c r="BT276" s="209">
        <v>5500</v>
      </c>
      <c r="BU276" s="211">
        <v>11000</v>
      </c>
      <c r="BV276" s="212" t="s">
        <v>100</v>
      </c>
      <c r="BW276" s="212" t="s">
        <v>286</v>
      </c>
      <c r="BX276" s="213" t="s">
        <v>100</v>
      </c>
      <c r="BY276" s="213" t="s">
        <v>100</v>
      </c>
      <c r="BZ276" s="45">
        <v>2000</v>
      </c>
    </row>
    <row r="277" spans="3:78" ht="25.5">
      <c r="C277" s="36"/>
      <c r="D277" s="296"/>
      <c r="E277" s="299"/>
      <c r="F277" s="302"/>
      <c r="G277" s="74">
        <v>665</v>
      </c>
      <c r="H277" s="62">
        <v>530</v>
      </c>
      <c r="I277" s="62">
        <v>10000</v>
      </c>
      <c r="J277" s="62">
        <v>10000</v>
      </c>
      <c r="K277" s="62">
        <v>50</v>
      </c>
      <c r="L277" s="62">
        <v>40</v>
      </c>
      <c r="M277" s="84" t="s">
        <v>229</v>
      </c>
      <c r="N277" s="63">
        <f t="shared" si="4"/>
        <v>200463.35999999999</v>
      </c>
      <c r="O277" s="62" t="s">
        <v>89</v>
      </c>
      <c r="P277" s="62">
        <v>8</v>
      </c>
      <c r="Q277" s="64" t="s">
        <v>198</v>
      </c>
      <c r="R277" s="64" t="s">
        <v>91</v>
      </c>
      <c r="S277" s="64" t="s">
        <v>199</v>
      </c>
      <c r="T277" s="65" t="s">
        <v>92</v>
      </c>
      <c r="U277" s="65" t="s">
        <v>93</v>
      </c>
      <c r="V277" s="62" t="s">
        <v>99</v>
      </c>
      <c r="W277" s="62">
        <v>31</v>
      </c>
      <c r="X277" s="66" t="s">
        <v>95</v>
      </c>
      <c r="Y277" s="66" t="s">
        <v>96</v>
      </c>
      <c r="Z277" s="87">
        <v>6000</v>
      </c>
      <c r="AA277" s="84" t="s">
        <v>208</v>
      </c>
      <c r="AB277" s="87">
        <v>2700</v>
      </c>
      <c r="AC277" s="62" t="s">
        <v>97</v>
      </c>
      <c r="AD277" s="75" t="s">
        <v>97</v>
      </c>
      <c r="AE277" s="35"/>
      <c r="AF277" s="37">
        <f t="shared" si="5"/>
        <v>188435.52</v>
      </c>
      <c r="AG277" s="29" t="s">
        <v>98</v>
      </c>
      <c r="AH277" s="226">
        <v>19838</v>
      </c>
      <c r="AI277" s="48" t="s">
        <v>230</v>
      </c>
      <c r="AJ277" s="39">
        <v>8000</v>
      </c>
      <c r="AK277" s="39" t="s">
        <v>209</v>
      </c>
      <c r="AL277" s="39">
        <v>3100</v>
      </c>
      <c r="AM277" s="30" t="s">
        <v>99</v>
      </c>
      <c r="AN277" s="40">
        <v>61750</v>
      </c>
      <c r="AO277" s="41" t="s">
        <v>333</v>
      </c>
      <c r="AP277" s="41" t="s">
        <v>334</v>
      </c>
      <c r="AQ277" s="27">
        <v>3000</v>
      </c>
      <c r="AR277" s="27" t="s">
        <v>94</v>
      </c>
      <c r="AS277" s="27">
        <v>900</v>
      </c>
      <c r="AT277" s="29">
        <v>41</v>
      </c>
      <c r="AU277" s="29" t="s">
        <v>100</v>
      </c>
      <c r="AV277" s="31">
        <v>42</v>
      </c>
      <c r="AW277" s="31" t="s">
        <v>100</v>
      </c>
      <c r="AX277" s="209"/>
      <c r="AY277" s="285"/>
      <c r="AZ277" s="285"/>
      <c r="BA277" s="286"/>
      <c r="BB277" s="286"/>
      <c r="BC277" s="44" t="s">
        <v>204</v>
      </c>
      <c r="BD277" s="33" t="s">
        <v>103</v>
      </c>
      <c r="BE277" s="271" t="s">
        <v>104</v>
      </c>
      <c r="BF277" s="271" t="s">
        <v>105</v>
      </c>
      <c r="BG277" s="269">
        <v>0</v>
      </c>
      <c r="BH277" s="42">
        <v>24000</v>
      </c>
      <c r="BI277" s="47" t="s">
        <v>100</v>
      </c>
      <c r="BJ277" s="32" t="s">
        <v>309</v>
      </c>
      <c r="BK277" s="32">
        <v>500</v>
      </c>
      <c r="BL277" s="26" t="s">
        <v>106</v>
      </c>
      <c r="BM277" s="26" t="s">
        <v>107</v>
      </c>
      <c r="BN277" s="209">
        <v>0</v>
      </c>
      <c r="BO277" s="26" t="s">
        <v>108</v>
      </c>
      <c r="BP277" s="34" t="s">
        <v>109</v>
      </c>
      <c r="BQ277" s="209">
        <v>4000</v>
      </c>
      <c r="BR277" s="26" t="s">
        <v>108</v>
      </c>
      <c r="BS277" s="34" t="s">
        <v>110</v>
      </c>
      <c r="BT277" s="209">
        <v>5500</v>
      </c>
      <c r="BU277" s="211">
        <v>11000</v>
      </c>
      <c r="BV277" s="212" t="s">
        <v>100</v>
      </c>
      <c r="BW277" s="212" t="s">
        <v>286</v>
      </c>
      <c r="BX277" s="213" t="s">
        <v>100</v>
      </c>
      <c r="BY277" s="213" t="s">
        <v>100</v>
      </c>
      <c r="BZ277" s="45">
        <v>2000</v>
      </c>
    </row>
    <row r="278" spans="3:78" ht="26.25" thickBot="1">
      <c r="C278" s="36"/>
      <c r="D278" s="296"/>
      <c r="E278" s="299"/>
      <c r="F278" s="302"/>
      <c r="G278" s="76">
        <v>700</v>
      </c>
      <c r="H278" s="77">
        <v>560</v>
      </c>
      <c r="I278" s="77">
        <v>10000</v>
      </c>
      <c r="J278" s="77">
        <v>10000</v>
      </c>
      <c r="K278" s="77">
        <v>50</v>
      </c>
      <c r="L278" s="77">
        <v>42</v>
      </c>
      <c r="M278" s="85" t="s">
        <v>229</v>
      </c>
      <c r="N278" s="78">
        <f t="shared" si="4"/>
        <v>201071.03999999998</v>
      </c>
      <c r="O278" s="77" t="s">
        <v>89</v>
      </c>
      <c r="P278" s="77">
        <v>8</v>
      </c>
      <c r="Q278" s="79" t="s">
        <v>198</v>
      </c>
      <c r="R278" s="79" t="s">
        <v>91</v>
      </c>
      <c r="S278" s="79" t="s">
        <v>199</v>
      </c>
      <c r="T278" s="80" t="s">
        <v>92</v>
      </c>
      <c r="U278" s="80" t="s">
        <v>93</v>
      </c>
      <c r="V278" s="77" t="s">
        <v>99</v>
      </c>
      <c r="W278" s="77">
        <v>31</v>
      </c>
      <c r="X278" s="81" t="s">
        <v>95</v>
      </c>
      <c r="Y278" s="81" t="s">
        <v>96</v>
      </c>
      <c r="Z278" s="88">
        <v>6000</v>
      </c>
      <c r="AA278" s="85" t="s">
        <v>208</v>
      </c>
      <c r="AB278" s="88">
        <v>2700</v>
      </c>
      <c r="AC278" s="77" t="s">
        <v>97</v>
      </c>
      <c r="AD278" s="82" t="s">
        <v>97</v>
      </c>
      <c r="AE278" s="35"/>
      <c r="AF278" s="37">
        <f t="shared" si="5"/>
        <v>189006.72</v>
      </c>
      <c r="AG278" s="29" t="s">
        <v>98</v>
      </c>
      <c r="AH278" s="226">
        <v>19898</v>
      </c>
      <c r="AI278" s="48" t="s">
        <v>230</v>
      </c>
      <c r="AJ278" s="39">
        <v>8000</v>
      </c>
      <c r="AK278" s="39" t="s">
        <v>209</v>
      </c>
      <c r="AL278" s="39">
        <v>3100</v>
      </c>
      <c r="AM278" s="30" t="s">
        <v>99</v>
      </c>
      <c r="AN278" s="40">
        <v>61750</v>
      </c>
      <c r="AO278" s="41" t="s">
        <v>333</v>
      </c>
      <c r="AP278" s="41" t="s">
        <v>334</v>
      </c>
      <c r="AQ278" s="27">
        <v>3000</v>
      </c>
      <c r="AR278" s="27" t="s">
        <v>94</v>
      </c>
      <c r="AS278" s="27">
        <v>900</v>
      </c>
      <c r="AT278" s="29">
        <v>41</v>
      </c>
      <c r="AU278" s="29" t="s">
        <v>100</v>
      </c>
      <c r="AV278" s="31">
        <v>42</v>
      </c>
      <c r="AW278" s="31" t="s">
        <v>100</v>
      </c>
      <c r="AX278" s="209"/>
      <c r="AY278" s="285"/>
      <c r="AZ278" s="285"/>
      <c r="BA278" s="286"/>
      <c r="BB278" s="286"/>
      <c r="BC278" s="44" t="s">
        <v>204</v>
      </c>
      <c r="BD278" s="33" t="s">
        <v>103</v>
      </c>
      <c r="BE278" s="271" t="s">
        <v>104</v>
      </c>
      <c r="BF278" s="271" t="s">
        <v>105</v>
      </c>
      <c r="BG278" s="269">
        <v>0</v>
      </c>
      <c r="BH278" s="42">
        <v>24000</v>
      </c>
      <c r="BI278" s="47" t="s">
        <v>100</v>
      </c>
      <c r="BJ278" s="32" t="s">
        <v>309</v>
      </c>
      <c r="BK278" s="32">
        <v>500</v>
      </c>
      <c r="BL278" s="26" t="s">
        <v>106</v>
      </c>
      <c r="BM278" s="26" t="s">
        <v>107</v>
      </c>
      <c r="BN278" s="209">
        <v>0</v>
      </c>
      <c r="BO278" s="26" t="s">
        <v>108</v>
      </c>
      <c r="BP278" s="34" t="s">
        <v>109</v>
      </c>
      <c r="BQ278" s="209">
        <v>4000</v>
      </c>
      <c r="BR278" s="26" t="s">
        <v>108</v>
      </c>
      <c r="BS278" s="34" t="s">
        <v>110</v>
      </c>
      <c r="BT278" s="209">
        <v>5500</v>
      </c>
      <c r="BU278" s="211">
        <v>11000</v>
      </c>
      <c r="BV278" s="212" t="s">
        <v>100</v>
      </c>
      <c r="BW278" s="212" t="s">
        <v>286</v>
      </c>
      <c r="BX278" s="213" t="s">
        <v>100</v>
      </c>
      <c r="BY278" s="213" t="s">
        <v>100</v>
      </c>
      <c r="BZ278" s="45">
        <v>2000</v>
      </c>
    </row>
    <row r="279" spans="3:78" ht="25.5">
      <c r="C279" s="36"/>
      <c r="D279" s="296"/>
      <c r="E279" s="299"/>
      <c r="F279" s="302"/>
      <c r="G279" s="67">
        <v>750</v>
      </c>
      <c r="H279" s="68">
        <v>600</v>
      </c>
      <c r="I279" s="68">
        <v>10000</v>
      </c>
      <c r="J279" s="68">
        <v>10000</v>
      </c>
      <c r="K279" s="68">
        <v>50</v>
      </c>
      <c r="L279" s="68">
        <v>45</v>
      </c>
      <c r="M279" s="103" t="s">
        <v>230</v>
      </c>
      <c r="N279" s="69">
        <f t="shared" si="4"/>
        <v>201784.32000000001</v>
      </c>
      <c r="O279" s="68" t="s">
        <v>89</v>
      </c>
      <c r="P279" s="68">
        <v>8</v>
      </c>
      <c r="Q279" s="70" t="s">
        <v>198</v>
      </c>
      <c r="R279" s="70" t="s">
        <v>91</v>
      </c>
      <c r="S279" s="70" t="s">
        <v>199</v>
      </c>
      <c r="T279" s="71" t="s">
        <v>92</v>
      </c>
      <c r="U279" s="71" t="s">
        <v>93</v>
      </c>
      <c r="V279" s="68" t="s">
        <v>99</v>
      </c>
      <c r="W279" s="68">
        <v>31</v>
      </c>
      <c r="X279" s="72" t="s">
        <v>95</v>
      </c>
      <c r="Y279" s="72" t="s">
        <v>96</v>
      </c>
      <c r="Z279" s="104">
        <v>8000</v>
      </c>
      <c r="AA279" s="103" t="s">
        <v>209</v>
      </c>
      <c r="AB279" s="104">
        <v>3100</v>
      </c>
      <c r="AC279" s="68" t="s">
        <v>97</v>
      </c>
      <c r="AD279" s="73" t="s">
        <v>97</v>
      </c>
      <c r="AE279" s="35"/>
      <c r="AF279" s="37">
        <f t="shared" si="5"/>
        <v>189676.79999999999</v>
      </c>
      <c r="AG279" s="29" t="s">
        <v>98</v>
      </c>
      <c r="AH279" s="226">
        <v>19968</v>
      </c>
      <c r="AI279" s="48" t="s">
        <v>230</v>
      </c>
      <c r="AJ279" s="39">
        <v>8000</v>
      </c>
      <c r="AK279" s="39" t="s">
        <v>209</v>
      </c>
      <c r="AL279" s="39">
        <v>3100</v>
      </c>
      <c r="AM279" s="30" t="s">
        <v>99</v>
      </c>
      <c r="AN279" s="40">
        <v>61750</v>
      </c>
      <c r="AO279" s="41" t="s">
        <v>333</v>
      </c>
      <c r="AP279" s="41" t="s">
        <v>334</v>
      </c>
      <c r="AQ279" s="27">
        <v>3000</v>
      </c>
      <c r="AR279" s="27" t="s">
        <v>94</v>
      </c>
      <c r="AS279" s="27">
        <v>900</v>
      </c>
      <c r="AT279" s="29">
        <v>41</v>
      </c>
      <c r="AU279" s="29" t="s">
        <v>100</v>
      </c>
      <c r="AV279" s="31">
        <v>42</v>
      </c>
      <c r="AW279" s="31" t="s">
        <v>100</v>
      </c>
      <c r="AX279" s="209"/>
      <c r="AY279" s="285"/>
      <c r="AZ279" s="285"/>
      <c r="BA279" s="286"/>
      <c r="BB279" s="286"/>
      <c r="BC279" s="44" t="s">
        <v>204</v>
      </c>
      <c r="BD279" s="33" t="s">
        <v>103</v>
      </c>
      <c r="BE279" s="271" t="s">
        <v>104</v>
      </c>
      <c r="BF279" s="271" t="s">
        <v>105</v>
      </c>
      <c r="BG279" s="269">
        <v>0</v>
      </c>
      <c r="BH279" s="42">
        <v>24000</v>
      </c>
      <c r="BI279" s="47" t="s">
        <v>100</v>
      </c>
      <c r="BJ279" s="32" t="s">
        <v>309</v>
      </c>
      <c r="BK279" s="32">
        <v>500</v>
      </c>
      <c r="BL279" s="26" t="s">
        <v>106</v>
      </c>
      <c r="BM279" s="26" t="s">
        <v>107</v>
      </c>
      <c r="BN279" s="209">
        <v>0</v>
      </c>
      <c r="BO279" s="26" t="s">
        <v>108</v>
      </c>
      <c r="BP279" s="34" t="s">
        <v>109</v>
      </c>
      <c r="BQ279" s="209">
        <v>4000</v>
      </c>
      <c r="BR279" s="26" t="s">
        <v>108</v>
      </c>
      <c r="BS279" s="34" t="s">
        <v>110</v>
      </c>
      <c r="BT279" s="209">
        <v>5500</v>
      </c>
      <c r="BU279" s="211">
        <v>11000</v>
      </c>
      <c r="BV279" s="212" t="s">
        <v>100</v>
      </c>
      <c r="BW279" s="212" t="s">
        <v>286</v>
      </c>
      <c r="BX279" s="213" t="s">
        <v>100</v>
      </c>
      <c r="BY279" s="213" t="s">
        <v>100</v>
      </c>
      <c r="BZ279" s="45">
        <v>2000</v>
      </c>
    </row>
    <row r="280" spans="3:78" ht="25.5">
      <c r="C280" s="36"/>
      <c r="D280" s="296"/>
      <c r="E280" s="299"/>
      <c r="F280" s="302"/>
      <c r="G280" s="74">
        <v>790</v>
      </c>
      <c r="H280" s="62">
        <v>630</v>
      </c>
      <c r="I280" s="62">
        <v>10000</v>
      </c>
      <c r="J280" s="62">
        <v>10000</v>
      </c>
      <c r="K280" s="62">
        <v>50</v>
      </c>
      <c r="L280" s="62">
        <v>47</v>
      </c>
      <c r="M280" s="101" t="s">
        <v>230</v>
      </c>
      <c r="N280" s="63">
        <f t="shared" si="4"/>
        <v>203136.96</v>
      </c>
      <c r="O280" s="62" t="s">
        <v>89</v>
      </c>
      <c r="P280" s="62">
        <v>8</v>
      </c>
      <c r="Q280" s="64" t="s">
        <v>198</v>
      </c>
      <c r="R280" s="64" t="s">
        <v>91</v>
      </c>
      <c r="S280" s="64" t="s">
        <v>199</v>
      </c>
      <c r="T280" s="65" t="s">
        <v>92</v>
      </c>
      <c r="U280" s="65" t="s">
        <v>93</v>
      </c>
      <c r="V280" s="62" t="s">
        <v>99</v>
      </c>
      <c r="W280" s="62">
        <v>31</v>
      </c>
      <c r="X280" s="66" t="s">
        <v>95</v>
      </c>
      <c r="Y280" s="66" t="s">
        <v>96</v>
      </c>
      <c r="Z280" s="102">
        <v>8000</v>
      </c>
      <c r="AA280" s="101" t="s">
        <v>209</v>
      </c>
      <c r="AB280" s="102">
        <v>3100</v>
      </c>
      <c r="AC280" s="62" t="s">
        <v>97</v>
      </c>
      <c r="AD280" s="75" t="s">
        <v>97</v>
      </c>
      <c r="AE280" s="35"/>
      <c r="AF280" s="37">
        <f t="shared" si="5"/>
        <v>190948.8</v>
      </c>
      <c r="AG280" s="29" t="s">
        <v>98</v>
      </c>
      <c r="AH280" s="226">
        <v>20102</v>
      </c>
      <c r="AI280" s="48" t="s">
        <v>230</v>
      </c>
      <c r="AJ280" s="39">
        <v>8000</v>
      </c>
      <c r="AK280" s="39" t="s">
        <v>209</v>
      </c>
      <c r="AL280" s="39">
        <v>3100</v>
      </c>
      <c r="AM280" s="30" t="s">
        <v>99</v>
      </c>
      <c r="AN280" s="40">
        <v>61750</v>
      </c>
      <c r="AO280" s="41" t="s">
        <v>333</v>
      </c>
      <c r="AP280" s="41" t="s">
        <v>334</v>
      </c>
      <c r="AQ280" s="27">
        <v>3000</v>
      </c>
      <c r="AR280" s="27" t="s">
        <v>94</v>
      </c>
      <c r="AS280" s="27">
        <v>900</v>
      </c>
      <c r="AT280" s="29">
        <v>41</v>
      </c>
      <c r="AU280" s="29" t="s">
        <v>100</v>
      </c>
      <c r="AV280" s="31">
        <v>42</v>
      </c>
      <c r="AW280" s="31" t="s">
        <v>100</v>
      </c>
      <c r="AX280" s="209"/>
      <c r="AY280" s="285"/>
      <c r="AZ280" s="285"/>
      <c r="BA280" s="286"/>
      <c r="BB280" s="286"/>
      <c r="BC280" s="44" t="s">
        <v>204</v>
      </c>
      <c r="BD280" s="33" t="s">
        <v>103</v>
      </c>
      <c r="BE280" s="271" t="s">
        <v>104</v>
      </c>
      <c r="BF280" s="271" t="s">
        <v>105</v>
      </c>
      <c r="BG280" s="269">
        <v>0</v>
      </c>
      <c r="BH280" s="42">
        <v>24000</v>
      </c>
      <c r="BI280" s="47" t="s">
        <v>100</v>
      </c>
      <c r="BJ280" s="32" t="s">
        <v>309</v>
      </c>
      <c r="BK280" s="32">
        <v>500</v>
      </c>
      <c r="BL280" s="26" t="s">
        <v>106</v>
      </c>
      <c r="BM280" s="26" t="s">
        <v>107</v>
      </c>
      <c r="BN280" s="209">
        <v>0</v>
      </c>
      <c r="BO280" s="26" t="s">
        <v>108</v>
      </c>
      <c r="BP280" s="34" t="s">
        <v>109</v>
      </c>
      <c r="BQ280" s="209">
        <v>4000</v>
      </c>
      <c r="BR280" s="26" t="s">
        <v>108</v>
      </c>
      <c r="BS280" s="34" t="s">
        <v>110</v>
      </c>
      <c r="BT280" s="209">
        <v>5500</v>
      </c>
      <c r="BU280" s="211">
        <v>11000</v>
      </c>
      <c r="BV280" s="212" t="s">
        <v>100</v>
      </c>
      <c r="BW280" s="212" t="s">
        <v>286</v>
      </c>
      <c r="BX280" s="213" t="s">
        <v>100</v>
      </c>
      <c r="BY280" s="213" t="s">
        <v>100</v>
      </c>
      <c r="BZ280" s="45">
        <v>2000</v>
      </c>
    </row>
    <row r="281" spans="3:78" ht="25.5">
      <c r="C281" s="36"/>
      <c r="D281" s="296"/>
      <c r="E281" s="299"/>
      <c r="F281" s="302"/>
      <c r="G281" s="74">
        <v>840</v>
      </c>
      <c r="H281" s="62">
        <v>670</v>
      </c>
      <c r="I281" s="62">
        <v>10000</v>
      </c>
      <c r="J281" s="62">
        <v>10000</v>
      </c>
      <c r="K281" s="62">
        <v>50</v>
      </c>
      <c r="L281" s="62">
        <v>49</v>
      </c>
      <c r="M281" s="101" t="s">
        <v>230</v>
      </c>
      <c r="N281" s="63">
        <f t="shared" si="4"/>
        <v>205996.79999999999</v>
      </c>
      <c r="O281" s="62" t="s">
        <v>89</v>
      </c>
      <c r="P281" s="62">
        <v>8</v>
      </c>
      <c r="Q281" s="64" t="s">
        <v>198</v>
      </c>
      <c r="R281" s="64" t="s">
        <v>91</v>
      </c>
      <c r="S281" s="64" t="s">
        <v>199</v>
      </c>
      <c r="T281" s="65" t="s">
        <v>92</v>
      </c>
      <c r="U281" s="65" t="s">
        <v>93</v>
      </c>
      <c r="V281" s="62" t="s">
        <v>99</v>
      </c>
      <c r="W281" s="62">
        <v>31</v>
      </c>
      <c r="X281" s="66" t="s">
        <v>95</v>
      </c>
      <c r="Y281" s="66" t="s">
        <v>96</v>
      </c>
      <c r="Z281" s="102">
        <v>8000</v>
      </c>
      <c r="AA281" s="101" t="s">
        <v>209</v>
      </c>
      <c r="AB281" s="102">
        <v>3100</v>
      </c>
      <c r="AC281" s="62" t="s">
        <v>97</v>
      </c>
      <c r="AD281" s="75" t="s">
        <v>97</v>
      </c>
      <c r="AE281" s="35"/>
      <c r="AF281" s="37">
        <f t="shared" si="5"/>
        <v>193636.8</v>
      </c>
      <c r="AG281" s="29" t="s">
        <v>98</v>
      </c>
      <c r="AH281" s="226">
        <v>20385</v>
      </c>
      <c r="AI281" s="48" t="s">
        <v>230</v>
      </c>
      <c r="AJ281" s="39">
        <v>8000</v>
      </c>
      <c r="AK281" s="39" t="s">
        <v>209</v>
      </c>
      <c r="AL281" s="39">
        <v>3100</v>
      </c>
      <c r="AM281" s="30" t="s">
        <v>99</v>
      </c>
      <c r="AN281" s="40">
        <v>61750</v>
      </c>
      <c r="AO281" s="41" t="s">
        <v>333</v>
      </c>
      <c r="AP281" s="41" t="s">
        <v>334</v>
      </c>
      <c r="AQ281" s="27">
        <v>3000</v>
      </c>
      <c r="AR281" s="27" t="s">
        <v>94</v>
      </c>
      <c r="AS281" s="27">
        <v>900</v>
      </c>
      <c r="AT281" s="29">
        <v>41</v>
      </c>
      <c r="AU281" s="29" t="s">
        <v>100</v>
      </c>
      <c r="AV281" s="31">
        <v>42</v>
      </c>
      <c r="AW281" s="31" t="s">
        <v>100</v>
      </c>
      <c r="AX281" s="209"/>
      <c r="AY281" s="285"/>
      <c r="AZ281" s="285"/>
      <c r="BA281" s="286"/>
      <c r="BB281" s="286"/>
      <c r="BC281" s="44" t="s">
        <v>204</v>
      </c>
      <c r="BD281" s="33" t="s">
        <v>103</v>
      </c>
      <c r="BE281" s="271" t="s">
        <v>104</v>
      </c>
      <c r="BF281" s="271" t="s">
        <v>105</v>
      </c>
      <c r="BG281" s="269">
        <v>0</v>
      </c>
      <c r="BH281" s="42">
        <v>24000</v>
      </c>
      <c r="BI281" s="47" t="s">
        <v>100</v>
      </c>
      <c r="BJ281" s="32" t="s">
        <v>309</v>
      </c>
      <c r="BK281" s="32">
        <v>500</v>
      </c>
      <c r="BL281" s="26" t="s">
        <v>106</v>
      </c>
      <c r="BM281" s="26" t="s">
        <v>107</v>
      </c>
      <c r="BN281" s="209">
        <v>0</v>
      </c>
      <c r="BO281" s="26" t="s">
        <v>108</v>
      </c>
      <c r="BP281" s="34" t="s">
        <v>109</v>
      </c>
      <c r="BQ281" s="209">
        <v>4000</v>
      </c>
      <c r="BR281" s="26" t="s">
        <v>108</v>
      </c>
      <c r="BS281" s="34" t="s">
        <v>110</v>
      </c>
      <c r="BT281" s="209">
        <v>5500</v>
      </c>
      <c r="BU281" s="211">
        <v>11000</v>
      </c>
      <c r="BV281" s="212" t="s">
        <v>100</v>
      </c>
      <c r="BW281" s="212" t="s">
        <v>286</v>
      </c>
      <c r="BX281" s="213" t="s">
        <v>100</v>
      </c>
      <c r="BY281" s="213" t="s">
        <v>100</v>
      </c>
      <c r="BZ281" s="45">
        <v>2000</v>
      </c>
    </row>
    <row r="282" spans="3:78" ht="25.5">
      <c r="C282" s="36"/>
      <c r="D282" s="296"/>
      <c r="E282" s="299"/>
      <c r="F282" s="302"/>
      <c r="G282" s="74">
        <v>890</v>
      </c>
      <c r="H282" s="62">
        <v>710</v>
      </c>
      <c r="I282" s="62">
        <v>10000</v>
      </c>
      <c r="J282" s="62">
        <v>10000</v>
      </c>
      <c r="K282" s="62">
        <v>50</v>
      </c>
      <c r="L282" s="62">
        <v>53</v>
      </c>
      <c r="M282" s="101" t="s">
        <v>230</v>
      </c>
      <c r="N282" s="63">
        <f t="shared" si="4"/>
        <v>206298.23999999999</v>
      </c>
      <c r="O282" s="62" t="s">
        <v>89</v>
      </c>
      <c r="P282" s="62">
        <v>8</v>
      </c>
      <c r="Q282" s="64" t="s">
        <v>198</v>
      </c>
      <c r="R282" s="64" t="s">
        <v>91</v>
      </c>
      <c r="S282" s="64" t="s">
        <v>199</v>
      </c>
      <c r="T282" s="65" t="s">
        <v>92</v>
      </c>
      <c r="U282" s="65" t="s">
        <v>93</v>
      </c>
      <c r="V282" s="62" t="s">
        <v>99</v>
      </c>
      <c r="W282" s="62">
        <v>31</v>
      </c>
      <c r="X282" s="66" t="s">
        <v>95</v>
      </c>
      <c r="Y282" s="66" t="s">
        <v>96</v>
      </c>
      <c r="Z282" s="102">
        <v>8000</v>
      </c>
      <c r="AA282" s="101" t="s">
        <v>209</v>
      </c>
      <c r="AB282" s="102">
        <v>3100</v>
      </c>
      <c r="AC282" s="62" t="s">
        <v>97</v>
      </c>
      <c r="AD282" s="75" t="s">
        <v>97</v>
      </c>
      <c r="AE282" s="35"/>
      <c r="AF282" s="37">
        <f t="shared" si="5"/>
        <v>193920</v>
      </c>
      <c r="AG282" s="29" t="s">
        <v>98</v>
      </c>
      <c r="AH282" s="226">
        <v>20415</v>
      </c>
      <c r="AI282" s="48" t="s">
        <v>230</v>
      </c>
      <c r="AJ282" s="39">
        <v>8000</v>
      </c>
      <c r="AK282" s="39" t="s">
        <v>209</v>
      </c>
      <c r="AL282" s="39">
        <v>3100</v>
      </c>
      <c r="AM282" s="30" t="s">
        <v>99</v>
      </c>
      <c r="AN282" s="40">
        <v>61750</v>
      </c>
      <c r="AO282" s="41" t="s">
        <v>333</v>
      </c>
      <c r="AP282" s="41" t="s">
        <v>334</v>
      </c>
      <c r="AQ282" s="27">
        <v>3000</v>
      </c>
      <c r="AR282" s="27" t="s">
        <v>94</v>
      </c>
      <c r="AS282" s="27">
        <v>900</v>
      </c>
      <c r="AT282" s="29">
        <v>41</v>
      </c>
      <c r="AU282" s="29" t="s">
        <v>100</v>
      </c>
      <c r="AV282" s="31">
        <v>42</v>
      </c>
      <c r="AW282" s="31" t="s">
        <v>100</v>
      </c>
      <c r="AX282" s="209"/>
      <c r="AY282" s="285"/>
      <c r="AZ282" s="285"/>
      <c r="BA282" s="286"/>
      <c r="BB282" s="286"/>
      <c r="BC282" s="44" t="s">
        <v>204</v>
      </c>
      <c r="BD282" s="33" t="s">
        <v>103</v>
      </c>
      <c r="BE282" s="271" t="s">
        <v>104</v>
      </c>
      <c r="BF282" s="271" t="s">
        <v>105</v>
      </c>
      <c r="BG282" s="269">
        <v>0</v>
      </c>
      <c r="BH282" s="42">
        <v>24000</v>
      </c>
      <c r="BI282" s="47" t="s">
        <v>100</v>
      </c>
      <c r="BJ282" s="32" t="s">
        <v>309</v>
      </c>
      <c r="BK282" s="32">
        <v>500</v>
      </c>
      <c r="BL282" s="26" t="s">
        <v>106</v>
      </c>
      <c r="BM282" s="26" t="s">
        <v>107</v>
      </c>
      <c r="BN282" s="209">
        <v>0</v>
      </c>
      <c r="BO282" s="26" t="s">
        <v>108</v>
      </c>
      <c r="BP282" s="34" t="s">
        <v>109</v>
      </c>
      <c r="BQ282" s="209">
        <v>4000</v>
      </c>
      <c r="BR282" s="26" t="s">
        <v>108</v>
      </c>
      <c r="BS282" s="34" t="s">
        <v>110</v>
      </c>
      <c r="BT282" s="209">
        <v>5500</v>
      </c>
      <c r="BU282" s="211">
        <v>11000</v>
      </c>
      <c r="BV282" s="212" t="s">
        <v>100</v>
      </c>
      <c r="BW282" s="212" t="s">
        <v>286</v>
      </c>
      <c r="BX282" s="213" t="s">
        <v>100</v>
      </c>
      <c r="BY282" s="213" t="s">
        <v>100</v>
      </c>
      <c r="BZ282" s="45">
        <v>2000</v>
      </c>
    </row>
    <row r="283" spans="3:78" ht="25.5">
      <c r="C283" s="1"/>
      <c r="D283" s="296"/>
      <c r="E283" s="299"/>
      <c r="F283" s="302"/>
      <c r="G283" s="174">
        <v>940</v>
      </c>
      <c r="H283" s="62">
        <v>750</v>
      </c>
      <c r="I283" s="62">
        <v>10000</v>
      </c>
      <c r="J283" s="62">
        <v>10000</v>
      </c>
      <c r="K283" s="62">
        <v>50</v>
      </c>
      <c r="L283" s="62">
        <v>56</v>
      </c>
      <c r="M283" s="101" t="s">
        <v>230</v>
      </c>
      <c r="N283" s="63">
        <f t="shared" si="4"/>
        <v>218264.63999999998</v>
      </c>
      <c r="O283" s="62" t="s">
        <v>89</v>
      </c>
      <c r="P283" s="62">
        <v>8</v>
      </c>
      <c r="Q283" s="64" t="s">
        <v>198</v>
      </c>
      <c r="R283" s="64" t="s">
        <v>91</v>
      </c>
      <c r="S283" s="64" t="s">
        <v>199</v>
      </c>
      <c r="T283" s="65" t="s">
        <v>92</v>
      </c>
      <c r="U283" s="65" t="s">
        <v>93</v>
      </c>
      <c r="V283" s="62" t="s">
        <v>99</v>
      </c>
      <c r="W283" s="62">
        <v>31</v>
      </c>
      <c r="X283" s="66" t="s">
        <v>95</v>
      </c>
      <c r="Y283" s="66" t="s">
        <v>96</v>
      </c>
      <c r="Z283" s="102">
        <v>8000</v>
      </c>
      <c r="AA283" s="101" t="s">
        <v>209</v>
      </c>
      <c r="AB283" s="102">
        <v>3100</v>
      </c>
      <c r="AC283" s="62" t="s">
        <v>97</v>
      </c>
      <c r="AD283" s="75" t="s">
        <v>97</v>
      </c>
      <c r="AE283" s="35"/>
      <c r="AF283" s="37">
        <f t="shared" si="5"/>
        <v>205168.31999999998</v>
      </c>
      <c r="AG283" s="29" t="s">
        <v>98</v>
      </c>
      <c r="AH283" s="226">
        <v>21599</v>
      </c>
      <c r="AI283" s="48" t="s">
        <v>230</v>
      </c>
      <c r="AJ283" s="39">
        <v>8000</v>
      </c>
      <c r="AK283" s="39" t="s">
        <v>209</v>
      </c>
      <c r="AL283" s="39">
        <v>3100</v>
      </c>
      <c r="AM283" s="30" t="s">
        <v>99</v>
      </c>
      <c r="AN283" s="40">
        <v>61750</v>
      </c>
      <c r="AO283" s="41" t="s">
        <v>333</v>
      </c>
      <c r="AP283" s="41" t="s">
        <v>334</v>
      </c>
      <c r="AQ283" s="27">
        <v>3000</v>
      </c>
      <c r="AR283" s="27" t="s">
        <v>94</v>
      </c>
      <c r="AS283" s="27">
        <v>900</v>
      </c>
      <c r="AT283" s="29">
        <v>41</v>
      </c>
      <c r="AU283" s="29" t="s">
        <v>100</v>
      </c>
      <c r="AV283" s="31">
        <v>42</v>
      </c>
      <c r="AW283" s="31" t="s">
        <v>100</v>
      </c>
      <c r="AX283" s="209"/>
      <c r="AY283" s="285"/>
      <c r="AZ283" s="285"/>
      <c r="BA283" s="286"/>
      <c r="BB283" s="286"/>
      <c r="BC283" s="44" t="s">
        <v>204</v>
      </c>
      <c r="BD283" s="33" t="s">
        <v>103</v>
      </c>
      <c r="BE283" s="271" t="s">
        <v>104</v>
      </c>
      <c r="BF283" s="271" t="s">
        <v>105</v>
      </c>
      <c r="BG283" s="269">
        <v>0</v>
      </c>
      <c r="BH283" s="42">
        <v>24000</v>
      </c>
      <c r="BI283" s="47" t="s">
        <v>100</v>
      </c>
      <c r="BJ283" s="32" t="s">
        <v>309</v>
      </c>
      <c r="BK283" s="32">
        <v>500</v>
      </c>
      <c r="BL283" s="26" t="s">
        <v>106</v>
      </c>
      <c r="BM283" s="26" t="s">
        <v>107</v>
      </c>
      <c r="BN283" s="209">
        <v>0</v>
      </c>
      <c r="BO283" s="26" t="s">
        <v>108</v>
      </c>
      <c r="BP283" s="34" t="s">
        <v>109</v>
      </c>
      <c r="BQ283" s="209">
        <v>4000</v>
      </c>
      <c r="BR283" s="26" t="s">
        <v>108</v>
      </c>
      <c r="BS283" s="34" t="s">
        <v>110</v>
      </c>
      <c r="BT283" s="209">
        <v>5500</v>
      </c>
      <c r="BU283" s="211">
        <v>11000</v>
      </c>
      <c r="BV283" s="212" t="s">
        <v>100</v>
      </c>
      <c r="BW283" s="212" t="s">
        <v>286</v>
      </c>
      <c r="BX283" s="213" t="s">
        <v>100</v>
      </c>
      <c r="BY283" s="213" t="s">
        <v>100</v>
      </c>
      <c r="BZ283" s="45">
        <v>2000</v>
      </c>
    </row>
    <row r="284" spans="3:78" ht="25.5">
      <c r="C284" s="1"/>
      <c r="D284" s="296"/>
      <c r="E284" s="299"/>
      <c r="F284" s="302"/>
      <c r="G284" s="174">
        <v>1000</v>
      </c>
      <c r="H284" s="62">
        <v>800</v>
      </c>
      <c r="I284" s="62">
        <v>10000</v>
      </c>
      <c r="J284" s="62">
        <v>10000</v>
      </c>
      <c r="K284" s="62">
        <v>50</v>
      </c>
      <c r="L284" s="62">
        <v>58</v>
      </c>
      <c r="M284" s="101" t="s">
        <v>230</v>
      </c>
      <c r="N284" s="63">
        <f t="shared" si="4"/>
        <v>221627.51999999999</v>
      </c>
      <c r="O284" s="62" t="s">
        <v>89</v>
      </c>
      <c r="P284" s="62">
        <v>8</v>
      </c>
      <c r="Q284" s="64" t="s">
        <v>198</v>
      </c>
      <c r="R284" s="64" t="s">
        <v>91</v>
      </c>
      <c r="S284" s="64" t="s">
        <v>199</v>
      </c>
      <c r="T284" s="65" t="s">
        <v>92</v>
      </c>
      <c r="U284" s="65" t="s">
        <v>93</v>
      </c>
      <c r="V284" s="62" t="s">
        <v>99</v>
      </c>
      <c r="W284" s="62">
        <v>31</v>
      </c>
      <c r="X284" s="66" t="s">
        <v>95</v>
      </c>
      <c r="Y284" s="66" t="s">
        <v>96</v>
      </c>
      <c r="Z284" s="102">
        <v>8000</v>
      </c>
      <c r="AA284" s="101" t="s">
        <v>209</v>
      </c>
      <c r="AB284" s="102">
        <v>3100</v>
      </c>
      <c r="AC284" s="62" t="s">
        <v>97</v>
      </c>
      <c r="AD284" s="75" t="s">
        <v>97</v>
      </c>
      <c r="AE284" s="35"/>
      <c r="AF284" s="37">
        <f t="shared" si="5"/>
        <v>208329.60000000001</v>
      </c>
      <c r="AG284" s="29" t="s">
        <v>98</v>
      </c>
      <c r="AH284" s="226">
        <v>21932</v>
      </c>
      <c r="AI284" s="48" t="s">
        <v>230</v>
      </c>
      <c r="AJ284" s="39">
        <v>8000</v>
      </c>
      <c r="AK284" s="39" t="s">
        <v>209</v>
      </c>
      <c r="AL284" s="39">
        <v>3100</v>
      </c>
      <c r="AM284" s="30" t="s">
        <v>99</v>
      </c>
      <c r="AN284" s="40">
        <v>61750</v>
      </c>
      <c r="AO284" s="41" t="s">
        <v>333</v>
      </c>
      <c r="AP284" s="41" t="s">
        <v>334</v>
      </c>
      <c r="AQ284" s="27">
        <v>3000</v>
      </c>
      <c r="AR284" s="27" t="s">
        <v>94</v>
      </c>
      <c r="AS284" s="27">
        <v>900</v>
      </c>
      <c r="AT284" s="29">
        <v>41</v>
      </c>
      <c r="AU284" s="29" t="s">
        <v>100</v>
      </c>
      <c r="AV284" s="31">
        <v>42</v>
      </c>
      <c r="AW284" s="31" t="s">
        <v>100</v>
      </c>
      <c r="AX284" s="209"/>
      <c r="AY284" s="285"/>
      <c r="AZ284" s="285"/>
      <c r="BA284" s="286"/>
      <c r="BB284" s="286"/>
      <c r="BC284" s="44" t="s">
        <v>204</v>
      </c>
      <c r="BD284" s="33" t="s">
        <v>103</v>
      </c>
      <c r="BE284" s="271" t="s">
        <v>104</v>
      </c>
      <c r="BF284" s="271" t="s">
        <v>105</v>
      </c>
      <c r="BG284" s="269">
        <v>0</v>
      </c>
      <c r="BH284" s="42">
        <v>24000</v>
      </c>
      <c r="BI284" s="47" t="s">
        <v>100</v>
      </c>
      <c r="BJ284" s="32" t="s">
        <v>309</v>
      </c>
      <c r="BK284" s="32">
        <v>500</v>
      </c>
      <c r="BL284" s="26" t="s">
        <v>106</v>
      </c>
      <c r="BM284" s="26" t="s">
        <v>107</v>
      </c>
      <c r="BN284" s="209">
        <v>0</v>
      </c>
      <c r="BO284" s="26" t="s">
        <v>108</v>
      </c>
      <c r="BP284" s="34" t="s">
        <v>109</v>
      </c>
      <c r="BQ284" s="209">
        <v>4000</v>
      </c>
      <c r="BR284" s="26" t="s">
        <v>108</v>
      </c>
      <c r="BS284" s="34" t="s">
        <v>110</v>
      </c>
      <c r="BT284" s="209">
        <v>5500</v>
      </c>
      <c r="BU284" s="211">
        <v>11000</v>
      </c>
      <c r="BV284" s="212" t="s">
        <v>100</v>
      </c>
      <c r="BW284" s="212" t="s">
        <v>286</v>
      </c>
      <c r="BX284" s="213" t="s">
        <v>100</v>
      </c>
      <c r="BY284" s="213" t="s">
        <v>100</v>
      </c>
      <c r="BZ284" s="45">
        <v>2000</v>
      </c>
    </row>
    <row r="285" spans="3:78" ht="25.5">
      <c r="C285" s="1"/>
      <c r="D285" s="296"/>
      <c r="E285" s="299"/>
      <c r="F285" s="302"/>
      <c r="G285" s="174">
        <v>1065</v>
      </c>
      <c r="H285" s="62">
        <v>850</v>
      </c>
      <c r="I285" s="62">
        <v>10000</v>
      </c>
      <c r="J285" s="62">
        <v>10000</v>
      </c>
      <c r="K285" s="62">
        <v>50</v>
      </c>
      <c r="L285" s="62">
        <v>62</v>
      </c>
      <c r="M285" s="101" t="s">
        <v>230</v>
      </c>
      <c r="N285" s="63">
        <f t="shared" si="4"/>
        <v>224807.03999999998</v>
      </c>
      <c r="O285" s="62" t="s">
        <v>89</v>
      </c>
      <c r="P285" s="62">
        <v>8</v>
      </c>
      <c r="Q285" s="64" t="s">
        <v>198</v>
      </c>
      <c r="R285" s="64" t="s">
        <v>91</v>
      </c>
      <c r="S285" s="64" t="s">
        <v>199</v>
      </c>
      <c r="T285" s="65" t="s">
        <v>92</v>
      </c>
      <c r="U285" s="65" t="s">
        <v>93</v>
      </c>
      <c r="V285" s="62" t="s">
        <v>99</v>
      </c>
      <c r="W285" s="62">
        <v>31</v>
      </c>
      <c r="X285" s="66" t="s">
        <v>95</v>
      </c>
      <c r="Y285" s="66" t="s">
        <v>96</v>
      </c>
      <c r="Z285" s="102">
        <v>8000</v>
      </c>
      <c r="AA285" s="101" t="s">
        <v>209</v>
      </c>
      <c r="AB285" s="102">
        <v>3100</v>
      </c>
      <c r="AC285" s="62" t="s">
        <v>97</v>
      </c>
      <c r="AD285" s="75" t="s">
        <v>97</v>
      </c>
      <c r="AE285" s="35"/>
      <c r="AF285" s="37">
        <f t="shared" si="5"/>
        <v>211319.03999999998</v>
      </c>
      <c r="AG285" s="29" t="s">
        <v>98</v>
      </c>
      <c r="AH285" s="226">
        <v>22247</v>
      </c>
      <c r="AI285" s="48" t="s">
        <v>230</v>
      </c>
      <c r="AJ285" s="39">
        <v>8000</v>
      </c>
      <c r="AK285" s="39" t="s">
        <v>209</v>
      </c>
      <c r="AL285" s="39">
        <v>3100</v>
      </c>
      <c r="AM285" s="30" t="s">
        <v>99</v>
      </c>
      <c r="AN285" s="40">
        <v>61750</v>
      </c>
      <c r="AO285" s="41" t="s">
        <v>333</v>
      </c>
      <c r="AP285" s="41" t="s">
        <v>334</v>
      </c>
      <c r="AQ285" s="27">
        <v>3000</v>
      </c>
      <c r="AR285" s="27" t="s">
        <v>94</v>
      </c>
      <c r="AS285" s="27">
        <v>900</v>
      </c>
      <c r="AT285" s="29">
        <v>41</v>
      </c>
      <c r="AU285" s="29" t="s">
        <v>100</v>
      </c>
      <c r="AV285" s="31">
        <v>42</v>
      </c>
      <c r="AW285" s="31" t="s">
        <v>100</v>
      </c>
      <c r="AX285" s="209"/>
      <c r="AY285" s="285"/>
      <c r="AZ285" s="285"/>
      <c r="BA285" s="286"/>
      <c r="BB285" s="286"/>
      <c r="BC285" s="44" t="s">
        <v>204</v>
      </c>
      <c r="BD285" s="33" t="s">
        <v>103</v>
      </c>
      <c r="BE285" s="271" t="s">
        <v>104</v>
      </c>
      <c r="BF285" s="271" t="s">
        <v>105</v>
      </c>
      <c r="BG285" s="269">
        <v>0</v>
      </c>
      <c r="BH285" s="42">
        <v>24000</v>
      </c>
      <c r="BI285" s="47" t="s">
        <v>100</v>
      </c>
      <c r="BJ285" s="32" t="s">
        <v>309</v>
      </c>
      <c r="BK285" s="32">
        <v>500</v>
      </c>
      <c r="BL285" s="26" t="s">
        <v>106</v>
      </c>
      <c r="BM285" s="26" t="s">
        <v>107</v>
      </c>
      <c r="BN285" s="209">
        <v>0</v>
      </c>
      <c r="BO285" s="26" t="s">
        <v>108</v>
      </c>
      <c r="BP285" s="34" t="s">
        <v>109</v>
      </c>
      <c r="BQ285" s="209">
        <v>4000</v>
      </c>
      <c r="BR285" s="26" t="s">
        <v>108</v>
      </c>
      <c r="BS285" s="34" t="s">
        <v>110</v>
      </c>
      <c r="BT285" s="209">
        <v>5500</v>
      </c>
      <c r="BU285" s="211">
        <v>11000</v>
      </c>
      <c r="BV285" s="212" t="s">
        <v>100</v>
      </c>
      <c r="BW285" s="212" t="s">
        <v>286</v>
      </c>
      <c r="BX285" s="213" t="s">
        <v>100</v>
      </c>
      <c r="BY285" s="213" t="s">
        <v>100</v>
      </c>
      <c r="BZ285" s="45">
        <v>2000</v>
      </c>
    </row>
    <row r="286" spans="3:78" ht="25.5">
      <c r="C286" s="1"/>
      <c r="D286" s="296"/>
      <c r="E286" s="299"/>
      <c r="F286" s="302"/>
      <c r="G286" s="174">
        <v>1125</v>
      </c>
      <c r="H286" s="62">
        <v>900</v>
      </c>
      <c r="I286" s="62">
        <v>10000</v>
      </c>
      <c r="J286" s="62">
        <v>10000</v>
      </c>
      <c r="K286" s="62">
        <v>50</v>
      </c>
      <c r="L286" s="62">
        <v>66</v>
      </c>
      <c r="M286" s="101" t="s">
        <v>230</v>
      </c>
      <c r="N286" s="63">
        <f t="shared" si="4"/>
        <v>227008.31999999998</v>
      </c>
      <c r="O286" s="62" t="s">
        <v>89</v>
      </c>
      <c r="P286" s="62">
        <v>8</v>
      </c>
      <c r="Q286" s="64" t="s">
        <v>198</v>
      </c>
      <c r="R286" s="64" t="s">
        <v>91</v>
      </c>
      <c r="S286" s="64" t="s">
        <v>199</v>
      </c>
      <c r="T286" s="65" t="s">
        <v>92</v>
      </c>
      <c r="U286" s="65" t="s">
        <v>93</v>
      </c>
      <c r="V286" s="62" t="s">
        <v>99</v>
      </c>
      <c r="W286" s="62">
        <v>31</v>
      </c>
      <c r="X286" s="66" t="s">
        <v>95</v>
      </c>
      <c r="Y286" s="66" t="s">
        <v>96</v>
      </c>
      <c r="Z286" s="102">
        <v>8000</v>
      </c>
      <c r="AA286" s="101" t="s">
        <v>209</v>
      </c>
      <c r="AB286" s="102">
        <v>3100</v>
      </c>
      <c r="AC286" s="183" t="s">
        <v>97</v>
      </c>
      <c r="AD286" s="184" t="s">
        <v>97</v>
      </c>
      <c r="AE286" s="35"/>
      <c r="AF286" s="37">
        <f t="shared" si="5"/>
        <v>213387.84</v>
      </c>
      <c r="AG286" s="29" t="s">
        <v>98</v>
      </c>
      <c r="AH286" s="226">
        <v>22464</v>
      </c>
      <c r="AI286" s="48" t="s">
        <v>230</v>
      </c>
      <c r="AJ286" s="39">
        <v>8000</v>
      </c>
      <c r="AK286" s="39" t="s">
        <v>209</v>
      </c>
      <c r="AL286" s="39">
        <v>3100</v>
      </c>
      <c r="AM286" s="30" t="s">
        <v>99</v>
      </c>
      <c r="AN286" s="40">
        <v>61750</v>
      </c>
      <c r="AO286" s="41" t="s">
        <v>333</v>
      </c>
      <c r="AP286" s="41" t="s">
        <v>334</v>
      </c>
      <c r="AQ286" s="27">
        <v>3000</v>
      </c>
      <c r="AR286" s="27" t="s">
        <v>94</v>
      </c>
      <c r="AS286" s="27">
        <v>900</v>
      </c>
      <c r="AT286" s="29">
        <v>41</v>
      </c>
      <c r="AU286" s="29" t="s">
        <v>100</v>
      </c>
      <c r="AV286" s="31">
        <v>42</v>
      </c>
      <c r="AW286" s="31" t="s">
        <v>100</v>
      </c>
      <c r="AX286" s="209"/>
      <c r="AY286" s="285"/>
      <c r="AZ286" s="285"/>
      <c r="BA286" s="286"/>
      <c r="BB286" s="286"/>
      <c r="BC286" s="44" t="s">
        <v>204</v>
      </c>
      <c r="BD286" s="33" t="s">
        <v>103</v>
      </c>
      <c r="BE286" s="271" t="s">
        <v>104</v>
      </c>
      <c r="BF286" s="271" t="s">
        <v>105</v>
      </c>
      <c r="BG286" s="269">
        <v>0</v>
      </c>
      <c r="BH286" s="42">
        <v>24000</v>
      </c>
      <c r="BI286" s="47" t="s">
        <v>100</v>
      </c>
      <c r="BJ286" s="32" t="s">
        <v>309</v>
      </c>
      <c r="BK286" s="32">
        <v>500</v>
      </c>
      <c r="BL286" s="26" t="s">
        <v>106</v>
      </c>
      <c r="BM286" s="26" t="s">
        <v>107</v>
      </c>
      <c r="BN286" s="209">
        <v>0</v>
      </c>
      <c r="BO286" s="26" t="s">
        <v>108</v>
      </c>
      <c r="BP286" s="34" t="s">
        <v>109</v>
      </c>
      <c r="BQ286" s="209">
        <v>4000</v>
      </c>
      <c r="BR286" s="26" t="s">
        <v>108</v>
      </c>
      <c r="BS286" s="34" t="s">
        <v>110</v>
      </c>
      <c r="BT286" s="209">
        <v>5500</v>
      </c>
      <c r="BU286" s="211">
        <v>11000</v>
      </c>
      <c r="BV286" s="212" t="s">
        <v>100</v>
      </c>
      <c r="BW286" s="212" t="s">
        <v>286</v>
      </c>
      <c r="BX286" s="213" t="s">
        <v>100</v>
      </c>
      <c r="BY286" s="213" t="s">
        <v>100</v>
      </c>
      <c r="BZ286" s="45">
        <v>2000</v>
      </c>
    </row>
    <row r="287" spans="3:78" ht="25.5">
      <c r="C287" s="1"/>
      <c r="D287" s="296"/>
      <c r="E287" s="299"/>
      <c r="F287" s="302"/>
      <c r="G287" s="174">
        <v>1190</v>
      </c>
      <c r="H287" s="62">
        <v>950</v>
      </c>
      <c r="I287" s="62">
        <v>10000</v>
      </c>
      <c r="J287" s="62">
        <v>10000</v>
      </c>
      <c r="K287" s="62">
        <v>50</v>
      </c>
      <c r="L287" s="62">
        <v>70</v>
      </c>
      <c r="M287" s="101" t="s">
        <v>230</v>
      </c>
      <c r="N287" s="63">
        <f t="shared" si="4"/>
        <v>230144.63999999998</v>
      </c>
      <c r="O287" s="62" t="s">
        <v>89</v>
      </c>
      <c r="P287" s="62">
        <v>8</v>
      </c>
      <c r="Q287" s="64" t="s">
        <v>198</v>
      </c>
      <c r="R287" s="64" t="s">
        <v>91</v>
      </c>
      <c r="S287" s="64" t="s">
        <v>199</v>
      </c>
      <c r="T287" s="65" t="s">
        <v>92</v>
      </c>
      <c r="U287" s="65" t="s">
        <v>93</v>
      </c>
      <c r="V287" s="62" t="s">
        <v>99</v>
      </c>
      <c r="W287" s="62">
        <v>31</v>
      </c>
      <c r="X287" s="66" t="s">
        <v>95</v>
      </c>
      <c r="Y287" s="66" t="s">
        <v>96</v>
      </c>
      <c r="Z287" s="102">
        <v>8000</v>
      </c>
      <c r="AA287" s="101" t="s">
        <v>209</v>
      </c>
      <c r="AB287" s="102">
        <v>3100</v>
      </c>
      <c r="AC287" s="183" t="s">
        <v>97</v>
      </c>
      <c r="AD287" s="184" t="s">
        <v>97</v>
      </c>
      <c r="AE287" s="35"/>
      <c r="AF287" s="37">
        <f t="shared" si="5"/>
        <v>216336</v>
      </c>
      <c r="AG287" s="29" t="s">
        <v>98</v>
      </c>
      <c r="AH287" s="226">
        <v>22775</v>
      </c>
      <c r="AI287" s="48" t="s">
        <v>230</v>
      </c>
      <c r="AJ287" s="39">
        <v>8000</v>
      </c>
      <c r="AK287" s="39" t="s">
        <v>209</v>
      </c>
      <c r="AL287" s="39">
        <v>3100</v>
      </c>
      <c r="AM287" s="30" t="s">
        <v>99</v>
      </c>
      <c r="AN287" s="40">
        <v>61750</v>
      </c>
      <c r="AO287" s="41" t="s">
        <v>333</v>
      </c>
      <c r="AP287" s="41" t="s">
        <v>334</v>
      </c>
      <c r="AQ287" s="27">
        <v>3000</v>
      </c>
      <c r="AR287" s="27" t="s">
        <v>94</v>
      </c>
      <c r="AS287" s="27">
        <v>900</v>
      </c>
      <c r="AT287" s="29">
        <v>41</v>
      </c>
      <c r="AU287" s="29" t="s">
        <v>100</v>
      </c>
      <c r="AV287" s="31">
        <v>42</v>
      </c>
      <c r="AW287" s="31" t="s">
        <v>100</v>
      </c>
      <c r="AX287" s="209"/>
      <c r="AY287" s="285"/>
      <c r="AZ287" s="285"/>
      <c r="BA287" s="286"/>
      <c r="BB287" s="286"/>
      <c r="BC287" s="44" t="s">
        <v>204</v>
      </c>
      <c r="BD287" s="33" t="s">
        <v>103</v>
      </c>
      <c r="BE287" s="271" t="s">
        <v>104</v>
      </c>
      <c r="BF287" s="271" t="s">
        <v>105</v>
      </c>
      <c r="BG287" s="269">
        <v>0</v>
      </c>
      <c r="BH287" s="42">
        <v>24000</v>
      </c>
      <c r="BI287" s="47" t="s">
        <v>100</v>
      </c>
      <c r="BJ287" s="32" t="s">
        <v>309</v>
      </c>
      <c r="BK287" s="32">
        <v>500</v>
      </c>
      <c r="BL287" s="26" t="s">
        <v>106</v>
      </c>
      <c r="BM287" s="26" t="s">
        <v>107</v>
      </c>
      <c r="BN287" s="209">
        <v>0</v>
      </c>
      <c r="BO287" s="26" t="s">
        <v>108</v>
      </c>
      <c r="BP287" s="34" t="s">
        <v>109</v>
      </c>
      <c r="BQ287" s="209">
        <v>4000</v>
      </c>
      <c r="BR287" s="26" t="s">
        <v>108</v>
      </c>
      <c r="BS287" s="34" t="s">
        <v>110</v>
      </c>
      <c r="BT287" s="209">
        <v>5500</v>
      </c>
      <c r="BU287" s="211">
        <v>11000</v>
      </c>
      <c r="BV287" s="212" t="s">
        <v>100</v>
      </c>
      <c r="BW287" s="212" t="s">
        <v>286</v>
      </c>
      <c r="BX287" s="213" t="s">
        <v>100</v>
      </c>
      <c r="BY287" s="213" t="s">
        <v>100</v>
      </c>
      <c r="BZ287" s="45">
        <v>2000</v>
      </c>
    </row>
    <row r="288" spans="3:78" ht="26.25" thickBot="1">
      <c r="C288" s="1"/>
      <c r="D288" s="296"/>
      <c r="E288" s="299"/>
      <c r="F288" s="302"/>
      <c r="G288" s="175">
        <v>1250</v>
      </c>
      <c r="H288" s="77">
        <v>1000</v>
      </c>
      <c r="I288" s="77">
        <v>10000</v>
      </c>
      <c r="J288" s="77">
        <v>10000</v>
      </c>
      <c r="K288" s="77">
        <v>50</v>
      </c>
      <c r="L288" s="77">
        <v>73</v>
      </c>
      <c r="M288" s="136" t="s">
        <v>230</v>
      </c>
      <c r="N288" s="78">
        <f t="shared" si="4"/>
        <v>231282.24</v>
      </c>
      <c r="O288" s="77" t="s">
        <v>89</v>
      </c>
      <c r="P288" s="77">
        <v>8</v>
      </c>
      <c r="Q288" s="79" t="s">
        <v>198</v>
      </c>
      <c r="R288" s="79" t="s">
        <v>91</v>
      </c>
      <c r="S288" s="79" t="s">
        <v>199</v>
      </c>
      <c r="T288" s="80" t="s">
        <v>92</v>
      </c>
      <c r="U288" s="80" t="s">
        <v>93</v>
      </c>
      <c r="V288" s="77" t="s">
        <v>99</v>
      </c>
      <c r="W288" s="77">
        <v>31</v>
      </c>
      <c r="X288" s="81" t="s">
        <v>95</v>
      </c>
      <c r="Y288" s="81" t="s">
        <v>96</v>
      </c>
      <c r="Z288" s="170">
        <v>8000</v>
      </c>
      <c r="AA288" s="136" t="s">
        <v>209</v>
      </c>
      <c r="AB288" s="170">
        <v>3100</v>
      </c>
      <c r="AC288" s="176" t="s">
        <v>97</v>
      </c>
      <c r="AD288" s="177" t="s">
        <v>97</v>
      </c>
      <c r="AE288" s="35"/>
      <c r="AF288" s="37">
        <f t="shared" si="5"/>
        <v>217405.44</v>
      </c>
      <c r="AG288" s="29" t="s">
        <v>98</v>
      </c>
      <c r="AH288" s="218">
        <v>22887</v>
      </c>
      <c r="AI288" s="219" t="s">
        <v>230</v>
      </c>
      <c r="AJ288" s="220">
        <v>8000</v>
      </c>
      <c r="AK288" s="220" t="s">
        <v>209</v>
      </c>
      <c r="AL288" s="220">
        <v>3100</v>
      </c>
      <c r="AM288" s="221" t="s">
        <v>99</v>
      </c>
      <c r="AN288" s="235">
        <v>61750</v>
      </c>
      <c r="AO288" s="236" t="s">
        <v>333</v>
      </c>
      <c r="AP288" s="236" t="s">
        <v>334</v>
      </c>
      <c r="AQ288" s="237">
        <v>3000</v>
      </c>
      <c r="AR288" s="237" t="s">
        <v>94</v>
      </c>
      <c r="AS288" s="237">
        <v>900</v>
      </c>
      <c r="AT288" s="29">
        <v>41</v>
      </c>
      <c r="AU288" s="29" t="s">
        <v>100</v>
      </c>
      <c r="AV288" s="31">
        <v>42</v>
      </c>
      <c r="AW288" s="31" t="s">
        <v>100</v>
      </c>
      <c r="AX288" s="209"/>
      <c r="AY288" s="285"/>
      <c r="AZ288" s="285"/>
      <c r="BA288" s="286"/>
      <c r="BB288" s="286"/>
      <c r="BC288" s="44" t="s">
        <v>204</v>
      </c>
      <c r="BD288" s="33" t="s">
        <v>103</v>
      </c>
      <c r="BE288" s="271" t="s">
        <v>104</v>
      </c>
      <c r="BF288" s="271" t="s">
        <v>105</v>
      </c>
      <c r="BG288" s="269">
        <v>0</v>
      </c>
      <c r="BH288" s="42">
        <v>24000</v>
      </c>
      <c r="BI288" s="47" t="s">
        <v>100</v>
      </c>
      <c r="BJ288" s="32" t="s">
        <v>309</v>
      </c>
      <c r="BK288" s="32">
        <v>500</v>
      </c>
      <c r="BL288" s="26" t="s">
        <v>106</v>
      </c>
      <c r="BM288" s="26" t="s">
        <v>107</v>
      </c>
      <c r="BN288" s="209">
        <v>0</v>
      </c>
      <c r="BO288" s="26" t="s">
        <v>108</v>
      </c>
      <c r="BP288" s="34" t="s">
        <v>109</v>
      </c>
      <c r="BQ288" s="209">
        <v>4000</v>
      </c>
      <c r="BR288" s="26" t="s">
        <v>108</v>
      </c>
      <c r="BS288" s="34" t="s">
        <v>110</v>
      </c>
      <c r="BT288" s="209">
        <v>5500</v>
      </c>
      <c r="BU288" s="211">
        <v>11000</v>
      </c>
      <c r="BV288" s="212" t="s">
        <v>100</v>
      </c>
      <c r="BW288" s="212" t="s">
        <v>286</v>
      </c>
      <c r="BX288" s="213" t="s">
        <v>100</v>
      </c>
      <c r="BY288" s="213" t="s">
        <v>100</v>
      </c>
      <c r="BZ288" s="45">
        <v>2000</v>
      </c>
    </row>
    <row r="289" spans="3:78" ht="25.5">
      <c r="C289" s="1"/>
      <c r="D289" s="296"/>
      <c r="E289" s="299"/>
      <c r="F289" s="302"/>
      <c r="G289" s="178">
        <v>1400</v>
      </c>
      <c r="H289" s="68">
        <v>1120</v>
      </c>
      <c r="I289" s="68">
        <v>10000</v>
      </c>
      <c r="J289" s="68">
        <v>10000</v>
      </c>
      <c r="K289" s="68">
        <v>50</v>
      </c>
      <c r="L289" s="68">
        <v>82</v>
      </c>
      <c r="M289" s="83" t="s">
        <v>231</v>
      </c>
      <c r="N289" s="69">
        <f t="shared" si="4"/>
        <v>248056.31999999998</v>
      </c>
      <c r="O289" s="68" t="s">
        <v>89</v>
      </c>
      <c r="P289" s="68">
        <v>8</v>
      </c>
      <c r="Q289" s="70" t="s">
        <v>198</v>
      </c>
      <c r="R289" s="70" t="s">
        <v>91</v>
      </c>
      <c r="S289" s="70" t="s">
        <v>199</v>
      </c>
      <c r="T289" s="71" t="s">
        <v>92</v>
      </c>
      <c r="U289" s="71" t="s">
        <v>93</v>
      </c>
      <c r="V289" s="68" t="s">
        <v>99</v>
      </c>
      <c r="W289" s="68">
        <v>31</v>
      </c>
      <c r="X289" s="72" t="s">
        <v>95</v>
      </c>
      <c r="Y289" s="72" t="s">
        <v>96</v>
      </c>
      <c r="Z289" s="86">
        <v>12000</v>
      </c>
      <c r="AA289" s="83" t="s">
        <v>202</v>
      </c>
      <c r="AB289" s="86">
        <v>4100</v>
      </c>
      <c r="AC289" s="179" t="s">
        <v>97</v>
      </c>
      <c r="AD289" s="180" t="s">
        <v>97</v>
      </c>
      <c r="AE289" s="35"/>
      <c r="AF289" s="37">
        <f t="shared" si="5"/>
        <v>233172.47999999998</v>
      </c>
      <c r="AG289" s="29" t="s">
        <v>98</v>
      </c>
      <c r="AH289" s="222">
        <v>24547</v>
      </c>
      <c r="AI289" s="223" t="s">
        <v>231</v>
      </c>
      <c r="AJ289" s="224">
        <v>12000</v>
      </c>
      <c r="AK289" s="224" t="s">
        <v>202</v>
      </c>
      <c r="AL289" s="224">
        <v>4100</v>
      </c>
      <c r="AM289" s="225" t="s">
        <v>99</v>
      </c>
      <c r="AN289" s="232">
        <v>61750</v>
      </c>
      <c r="AO289" s="233" t="s">
        <v>331</v>
      </c>
      <c r="AP289" s="233" t="s">
        <v>332</v>
      </c>
      <c r="AQ289" s="234">
        <v>3000</v>
      </c>
      <c r="AR289" s="234" t="s">
        <v>94</v>
      </c>
      <c r="AS289" s="234">
        <v>900</v>
      </c>
      <c r="AT289" s="29">
        <v>41</v>
      </c>
      <c r="AU289" s="29" t="s">
        <v>100</v>
      </c>
      <c r="AV289" s="31">
        <v>42</v>
      </c>
      <c r="AW289" s="31" t="s">
        <v>100</v>
      </c>
      <c r="AX289" s="209"/>
      <c r="AY289" s="285"/>
      <c r="AZ289" s="285"/>
      <c r="BA289" s="286"/>
      <c r="BB289" s="286"/>
      <c r="BC289" s="44" t="s">
        <v>204</v>
      </c>
      <c r="BD289" s="33" t="s">
        <v>103</v>
      </c>
      <c r="BE289" s="271" t="s">
        <v>104</v>
      </c>
      <c r="BF289" s="271" t="s">
        <v>105</v>
      </c>
      <c r="BG289" s="269">
        <v>0</v>
      </c>
      <c r="BH289" s="42">
        <v>24000</v>
      </c>
      <c r="BI289" s="47" t="s">
        <v>100</v>
      </c>
      <c r="BJ289" s="32" t="s">
        <v>101</v>
      </c>
      <c r="BK289" s="32" t="s">
        <v>100</v>
      </c>
      <c r="BL289" s="26" t="s">
        <v>106</v>
      </c>
      <c r="BM289" s="26" t="s">
        <v>107</v>
      </c>
      <c r="BN289" s="209">
        <v>0</v>
      </c>
      <c r="BO289" s="26" t="s">
        <v>108</v>
      </c>
      <c r="BP289" s="34" t="s">
        <v>109</v>
      </c>
      <c r="BQ289" s="209">
        <v>4000</v>
      </c>
      <c r="BR289" s="26" t="s">
        <v>108</v>
      </c>
      <c r="BS289" s="34" t="s">
        <v>110</v>
      </c>
      <c r="BT289" s="209">
        <v>5500</v>
      </c>
      <c r="BU289" s="211">
        <v>11000</v>
      </c>
      <c r="BV289" s="212" t="s">
        <v>100</v>
      </c>
      <c r="BW289" s="212" t="s">
        <v>286</v>
      </c>
      <c r="BX289" s="213" t="s">
        <v>100</v>
      </c>
      <c r="BY289" s="213" t="s">
        <v>100</v>
      </c>
      <c r="BZ289" s="45">
        <v>2000</v>
      </c>
    </row>
    <row r="290" spans="3:78" ht="25.5">
      <c r="C290" s="1"/>
      <c r="D290" s="296"/>
      <c r="E290" s="299"/>
      <c r="F290" s="302"/>
      <c r="G290" s="174">
        <v>1565</v>
      </c>
      <c r="H290" s="62">
        <v>1250</v>
      </c>
      <c r="I290" s="62">
        <v>10000</v>
      </c>
      <c r="J290" s="62">
        <v>10000</v>
      </c>
      <c r="K290" s="62">
        <v>50</v>
      </c>
      <c r="L290" s="62">
        <v>91</v>
      </c>
      <c r="M290" s="84" t="s">
        <v>231</v>
      </c>
      <c r="N290" s="63">
        <f t="shared" si="4"/>
        <v>254476.79999999999</v>
      </c>
      <c r="O290" s="62" t="s">
        <v>89</v>
      </c>
      <c r="P290" s="62">
        <v>8</v>
      </c>
      <c r="Q290" s="64" t="s">
        <v>198</v>
      </c>
      <c r="R290" s="64" t="s">
        <v>91</v>
      </c>
      <c r="S290" s="64" t="s">
        <v>199</v>
      </c>
      <c r="T290" s="65" t="s">
        <v>92</v>
      </c>
      <c r="U290" s="65" t="s">
        <v>93</v>
      </c>
      <c r="V290" s="62" t="s">
        <v>99</v>
      </c>
      <c r="W290" s="62">
        <v>31</v>
      </c>
      <c r="X290" s="66" t="s">
        <v>95</v>
      </c>
      <c r="Y290" s="66" t="s">
        <v>96</v>
      </c>
      <c r="Z290" s="87">
        <v>12000</v>
      </c>
      <c r="AA290" s="84" t="s">
        <v>202</v>
      </c>
      <c r="AB290" s="87">
        <v>4100</v>
      </c>
      <c r="AC290" s="183" t="s">
        <v>97</v>
      </c>
      <c r="AD290" s="184" t="s">
        <v>97</v>
      </c>
      <c r="AE290" s="35"/>
      <c r="AF290" s="37">
        <f t="shared" si="5"/>
        <v>239208</v>
      </c>
      <c r="AG290" s="29" t="s">
        <v>98</v>
      </c>
      <c r="AH290" s="226">
        <v>25183</v>
      </c>
      <c r="AI290" s="48" t="s">
        <v>231</v>
      </c>
      <c r="AJ290" s="39">
        <v>12000</v>
      </c>
      <c r="AK290" s="39" t="s">
        <v>202</v>
      </c>
      <c r="AL290" s="39">
        <v>4100</v>
      </c>
      <c r="AM290" s="30" t="s">
        <v>99</v>
      </c>
      <c r="AN290" s="40">
        <v>61750</v>
      </c>
      <c r="AO290" s="41" t="s">
        <v>331</v>
      </c>
      <c r="AP290" s="41" t="s">
        <v>332</v>
      </c>
      <c r="AQ290" s="27">
        <v>3000</v>
      </c>
      <c r="AR290" s="27" t="s">
        <v>94</v>
      </c>
      <c r="AS290" s="27">
        <v>900</v>
      </c>
      <c r="AT290" s="29">
        <v>41</v>
      </c>
      <c r="AU290" s="29" t="s">
        <v>100</v>
      </c>
      <c r="AV290" s="31">
        <v>42</v>
      </c>
      <c r="AW290" s="31" t="s">
        <v>100</v>
      </c>
      <c r="AX290" s="209"/>
      <c r="AY290" s="285"/>
      <c r="AZ290" s="285"/>
      <c r="BA290" s="286"/>
      <c r="BB290" s="286"/>
      <c r="BC290" s="44" t="s">
        <v>204</v>
      </c>
      <c r="BD290" s="33" t="s">
        <v>103</v>
      </c>
      <c r="BE290" s="271" t="s">
        <v>104</v>
      </c>
      <c r="BF290" s="271" t="s">
        <v>105</v>
      </c>
      <c r="BG290" s="269">
        <v>0</v>
      </c>
      <c r="BH290" s="42">
        <v>24000</v>
      </c>
      <c r="BI290" s="47" t="s">
        <v>100</v>
      </c>
      <c r="BJ290" s="32" t="s">
        <v>101</v>
      </c>
      <c r="BK290" s="32" t="s">
        <v>100</v>
      </c>
      <c r="BL290" s="26" t="s">
        <v>106</v>
      </c>
      <c r="BM290" s="26" t="s">
        <v>107</v>
      </c>
      <c r="BN290" s="209">
        <v>0</v>
      </c>
      <c r="BO290" s="26" t="s">
        <v>108</v>
      </c>
      <c r="BP290" s="34" t="s">
        <v>109</v>
      </c>
      <c r="BQ290" s="209">
        <v>4000</v>
      </c>
      <c r="BR290" s="26" t="s">
        <v>108</v>
      </c>
      <c r="BS290" s="34" t="s">
        <v>110</v>
      </c>
      <c r="BT290" s="209">
        <v>5500</v>
      </c>
      <c r="BU290" s="211">
        <v>11000</v>
      </c>
      <c r="BV290" s="212" t="s">
        <v>100</v>
      </c>
      <c r="BW290" s="212" t="s">
        <v>286</v>
      </c>
      <c r="BX290" s="213" t="s">
        <v>100</v>
      </c>
      <c r="BY290" s="213" t="s">
        <v>100</v>
      </c>
      <c r="BZ290" s="45">
        <v>2000</v>
      </c>
    </row>
    <row r="291" spans="3:78" ht="26.25" thickBot="1">
      <c r="C291" s="1"/>
      <c r="D291" s="296"/>
      <c r="E291" s="299"/>
      <c r="F291" s="302"/>
      <c r="G291" s="175">
        <v>1750</v>
      </c>
      <c r="H291" s="77">
        <v>1400</v>
      </c>
      <c r="I291" s="77">
        <v>10000</v>
      </c>
      <c r="J291" s="77">
        <v>10000</v>
      </c>
      <c r="K291" s="77">
        <v>50</v>
      </c>
      <c r="L291" s="77">
        <v>98</v>
      </c>
      <c r="M291" s="85" t="s">
        <v>231</v>
      </c>
      <c r="N291" s="78">
        <f t="shared" si="4"/>
        <v>279553.91999999998</v>
      </c>
      <c r="O291" s="77" t="s">
        <v>89</v>
      </c>
      <c r="P291" s="77">
        <v>8</v>
      </c>
      <c r="Q291" s="79" t="s">
        <v>198</v>
      </c>
      <c r="R291" s="79" t="s">
        <v>91</v>
      </c>
      <c r="S291" s="79" t="s">
        <v>199</v>
      </c>
      <c r="T291" s="80" t="s">
        <v>92</v>
      </c>
      <c r="U291" s="80" t="s">
        <v>93</v>
      </c>
      <c r="V291" s="77" t="s">
        <v>99</v>
      </c>
      <c r="W291" s="77">
        <v>31</v>
      </c>
      <c r="X291" s="81" t="s">
        <v>95</v>
      </c>
      <c r="Y291" s="81" t="s">
        <v>96</v>
      </c>
      <c r="Z291" s="88">
        <v>12000</v>
      </c>
      <c r="AA291" s="85" t="s">
        <v>202</v>
      </c>
      <c r="AB291" s="88">
        <v>4100</v>
      </c>
      <c r="AC291" s="176" t="s">
        <v>97</v>
      </c>
      <c r="AD291" s="177" t="s">
        <v>97</v>
      </c>
      <c r="AE291" s="35"/>
      <c r="AF291" s="37">
        <f t="shared" si="5"/>
        <v>262780.79999999999</v>
      </c>
      <c r="AG291" s="29" t="s">
        <v>98</v>
      </c>
      <c r="AH291" s="218">
        <v>27664</v>
      </c>
      <c r="AI291" s="219" t="s">
        <v>231</v>
      </c>
      <c r="AJ291" s="220">
        <v>12000</v>
      </c>
      <c r="AK291" s="220" t="s">
        <v>202</v>
      </c>
      <c r="AL291" s="220">
        <v>4100</v>
      </c>
      <c r="AM291" s="221" t="s">
        <v>99</v>
      </c>
      <c r="AN291" s="40">
        <v>61750</v>
      </c>
      <c r="AO291" s="41" t="s">
        <v>331</v>
      </c>
      <c r="AP291" s="41" t="s">
        <v>332</v>
      </c>
      <c r="AQ291" s="27">
        <v>3000</v>
      </c>
      <c r="AR291" s="27" t="s">
        <v>94</v>
      </c>
      <c r="AS291" s="27">
        <v>900</v>
      </c>
      <c r="AT291" s="29">
        <v>41</v>
      </c>
      <c r="AU291" s="29" t="s">
        <v>100</v>
      </c>
      <c r="AV291" s="31">
        <v>42</v>
      </c>
      <c r="AW291" s="31" t="s">
        <v>100</v>
      </c>
      <c r="AX291" s="209"/>
      <c r="AY291" s="285"/>
      <c r="AZ291" s="285"/>
      <c r="BA291" s="286"/>
      <c r="BB291" s="286"/>
      <c r="BC291" s="44" t="s">
        <v>204</v>
      </c>
      <c r="BD291" s="33" t="s">
        <v>103</v>
      </c>
      <c r="BE291" s="271" t="s">
        <v>104</v>
      </c>
      <c r="BF291" s="271" t="s">
        <v>105</v>
      </c>
      <c r="BG291" s="269">
        <v>0</v>
      </c>
      <c r="BH291" s="42">
        <v>27000</v>
      </c>
      <c r="BI291" s="47" t="s">
        <v>100</v>
      </c>
      <c r="BJ291" s="32" t="s">
        <v>101</v>
      </c>
      <c r="BK291" s="32" t="s">
        <v>100</v>
      </c>
      <c r="BL291" s="26" t="s">
        <v>106</v>
      </c>
      <c r="BM291" s="26" t="s">
        <v>107</v>
      </c>
      <c r="BN291" s="209">
        <v>0</v>
      </c>
      <c r="BO291" s="26" t="s">
        <v>108</v>
      </c>
      <c r="BP291" s="34" t="s">
        <v>109</v>
      </c>
      <c r="BQ291" s="209">
        <v>4000</v>
      </c>
      <c r="BR291" s="26" t="s">
        <v>108</v>
      </c>
      <c r="BS291" s="34" t="s">
        <v>110</v>
      </c>
      <c r="BT291" s="209">
        <v>5500</v>
      </c>
      <c r="BU291" s="211">
        <v>11000</v>
      </c>
      <c r="BV291" s="212" t="s">
        <v>100</v>
      </c>
      <c r="BW291" s="212" t="s">
        <v>286</v>
      </c>
      <c r="BX291" s="213" t="s">
        <v>100</v>
      </c>
      <c r="BY291" s="213" t="s">
        <v>100</v>
      </c>
      <c r="BZ291" s="45">
        <v>2000</v>
      </c>
    </row>
    <row r="292" spans="3:78" ht="25.5">
      <c r="C292" s="1"/>
      <c r="D292" s="296"/>
      <c r="E292" s="299"/>
      <c r="F292" s="302"/>
      <c r="G292" s="178">
        <v>2000</v>
      </c>
      <c r="H292" s="68">
        <v>1600</v>
      </c>
      <c r="I292" s="68">
        <v>10000</v>
      </c>
      <c r="J292" s="68">
        <v>10000</v>
      </c>
      <c r="K292" s="68">
        <v>50</v>
      </c>
      <c r="L292" s="68">
        <v>115</v>
      </c>
      <c r="M292" s="103" t="s">
        <v>232</v>
      </c>
      <c r="N292" s="69">
        <f t="shared" si="4"/>
        <v>294292.8</v>
      </c>
      <c r="O292" s="68" t="s">
        <v>89</v>
      </c>
      <c r="P292" s="68">
        <v>8</v>
      </c>
      <c r="Q292" s="70" t="s">
        <v>198</v>
      </c>
      <c r="R292" s="70" t="s">
        <v>91</v>
      </c>
      <c r="S292" s="70" t="s">
        <v>199</v>
      </c>
      <c r="T292" s="71" t="s">
        <v>92</v>
      </c>
      <c r="U292" s="71" t="s">
        <v>93</v>
      </c>
      <c r="V292" s="68" t="s">
        <v>99</v>
      </c>
      <c r="W292" s="68">
        <v>31</v>
      </c>
      <c r="X292" s="72" t="s">
        <v>95</v>
      </c>
      <c r="Y292" s="72" t="s">
        <v>96</v>
      </c>
      <c r="Z292" s="104">
        <v>18000</v>
      </c>
      <c r="AA292" s="103" t="s">
        <v>203</v>
      </c>
      <c r="AB292" s="104">
        <v>4300</v>
      </c>
      <c r="AC292" s="179" t="s">
        <v>97</v>
      </c>
      <c r="AD292" s="180" t="s">
        <v>97</v>
      </c>
      <c r="AE292" s="35"/>
      <c r="AF292" s="37">
        <f t="shared" si="5"/>
        <v>276635.52000000002</v>
      </c>
      <c r="AG292" s="29" t="s">
        <v>98</v>
      </c>
      <c r="AH292" s="222">
        <v>29123</v>
      </c>
      <c r="AI292" s="223" t="s">
        <v>232</v>
      </c>
      <c r="AJ292" s="224">
        <v>18000</v>
      </c>
      <c r="AK292" s="224" t="s">
        <v>203</v>
      </c>
      <c r="AL292" s="224">
        <v>4300</v>
      </c>
      <c r="AM292" s="225" t="s">
        <v>99</v>
      </c>
      <c r="AN292" s="40">
        <v>68400</v>
      </c>
      <c r="AO292" s="41" t="s">
        <v>331</v>
      </c>
      <c r="AP292" s="41" t="s">
        <v>332</v>
      </c>
      <c r="AQ292" s="27">
        <v>3000</v>
      </c>
      <c r="AR292" s="27" t="s">
        <v>94</v>
      </c>
      <c r="AS292" s="27">
        <v>900</v>
      </c>
      <c r="AT292" s="29">
        <v>41</v>
      </c>
      <c r="AU292" s="29" t="s">
        <v>100</v>
      </c>
      <c r="AV292" s="31">
        <v>42</v>
      </c>
      <c r="AW292" s="31" t="s">
        <v>100</v>
      </c>
      <c r="AX292" s="209"/>
      <c r="AY292" s="285"/>
      <c r="AZ292" s="285"/>
      <c r="BA292" s="286"/>
      <c r="BB292" s="286"/>
      <c r="BC292" s="44" t="s">
        <v>204</v>
      </c>
      <c r="BD292" s="33" t="s">
        <v>103</v>
      </c>
      <c r="BE292" s="271" t="s">
        <v>104</v>
      </c>
      <c r="BF292" s="271" t="s">
        <v>105</v>
      </c>
      <c r="BG292" s="269">
        <v>0</v>
      </c>
      <c r="BH292" s="42">
        <v>27000</v>
      </c>
      <c r="BI292" s="47" t="s">
        <v>100</v>
      </c>
      <c r="BJ292" s="32" t="s">
        <v>101</v>
      </c>
      <c r="BK292" s="32" t="s">
        <v>100</v>
      </c>
      <c r="BL292" s="26" t="s">
        <v>106</v>
      </c>
      <c r="BM292" s="26" t="s">
        <v>107</v>
      </c>
      <c r="BN292" s="209">
        <v>0</v>
      </c>
      <c r="BO292" s="26" t="s">
        <v>108</v>
      </c>
      <c r="BP292" s="34" t="s">
        <v>109</v>
      </c>
      <c r="BQ292" s="209">
        <v>4000</v>
      </c>
      <c r="BR292" s="26" t="s">
        <v>108</v>
      </c>
      <c r="BS292" s="34" t="s">
        <v>110</v>
      </c>
      <c r="BT292" s="209">
        <v>5500</v>
      </c>
      <c r="BU292" s="211">
        <v>11000</v>
      </c>
      <c r="BV292" s="212" t="s">
        <v>100</v>
      </c>
      <c r="BW292" s="212" t="s">
        <v>286</v>
      </c>
      <c r="BX292" s="213" t="s">
        <v>100</v>
      </c>
      <c r="BY292" s="213" t="s">
        <v>100</v>
      </c>
      <c r="BZ292" s="45">
        <v>2000</v>
      </c>
    </row>
    <row r="293" spans="3:78" ht="25.5">
      <c r="C293" s="1"/>
      <c r="D293" s="296"/>
      <c r="E293" s="299"/>
      <c r="F293" s="302"/>
      <c r="G293" s="174">
        <v>2250</v>
      </c>
      <c r="H293" s="62">
        <v>1800</v>
      </c>
      <c r="I293" s="62">
        <v>10000</v>
      </c>
      <c r="J293" s="62">
        <v>10000</v>
      </c>
      <c r="K293" s="62">
        <v>50</v>
      </c>
      <c r="L293" s="62">
        <v>130</v>
      </c>
      <c r="M293" s="101" t="s">
        <v>232</v>
      </c>
      <c r="N293" s="63">
        <f t="shared" si="4"/>
        <v>322301.76</v>
      </c>
      <c r="O293" s="62" t="s">
        <v>89</v>
      </c>
      <c r="P293" s="62">
        <v>8</v>
      </c>
      <c r="Q293" s="64" t="s">
        <v>198</v>
      </c>
      <c r="R293" s="64" t="s">
        <v>91</v>
      </c>
      <c r="S293" s="64" t="s">
        <v>199</v>
      </c>
      <c r="T293" s="65" t="s">
        <v>92</v>
      </c>
      <c r="U293" s="65" t="s">
        <v>93</v>
      </c>
      <c r="V293" s="62" t="s">
        <v>99</v>
      </c>
      <c r="W293" s="62">
        <v>31</v>
      </c>
      <c r="X293" s="66" t="s">
        <v>95</v>
      </c>
      <c r="Y293" s="66" t="s">
        <v>96</v>
      </c>
      <c r="Z293" s="102">
        <v>18000</v>
      </c>
      <c r="AA293" s="101" t="s">
        <v>203</v>
      </c>
      <c r="AB293" s="102">
        <v>4300</v>
      </c>
      <c r="AC293" s="183" t="s">
        <v>97</v>
      </c>
      <c r="AD293" s="184" t="s">
        <v>97</v>
      </c>
      <c r="AE293" s="35"/>
      <c r="AF293" s="37">
        <f t="shared" si="5"/>
        <v>302963.51999999996</v>
      </c>
      <c r="AG293" s="29" t="s">
        <v>98</v>
      </c>
      <c r="AH293" s="226">
        <v>31894</v>
      </c>
      <c r="AI293" s="48" t="s">
        <v>232</v>
      </c>
      <c r="AJ293" s="39">
        <v>18000</v>
      </c>
      <c r="AK293" s="39" t="s">
        <v>203</v>
      </c>
      <c r="AL293" s="39">
        <v>4300</v>
      </c>
      <c r="AM293" s="30" t="s">
        <v>99</v>
      </c>
      <c r="AN293" s="40">
        <v>68400</v>
      </c>
      <c r="AO293" s="41" t="s">
        <v>331</v>
      </c>
      <c r="AP293" s="41" t="s">
        <v>332</v>
      </c>
      <c r="AQ293" s="27">
        <v>3000</v>
      </c>
      <c r="AR293" s="27" t="s">
        <v>94</v>
      </c>
      <c r="AS293" s="27">
        <v>900</v>
      </c>
      <c r="AT293" s="29">
        <v>41</v>
      </c>
      <c r="AU293" s="29" t="s">
        <v>100</v>
      </c>
      <c r="AV293" s="31">
        <v>42</v>
      </c>
      <c r="AW293" s="31" t="s">
        <v>100</v>
      </c>
      <c r="AX293" s="209"/>
      <c r="AY293" s="285"/>
      <c r="AZ293" s="285"/>
      <c r="BA293" s="286"/>
      <c r="BB293" s="286"/>
      <c r="BC293" s="44" t="s">
        <v>204</v>
      </c>
      <c r="BD293" s="33" t="s">
        <v>103</v>
      </c>
      <c r="BE293" s="271" t="s">
        <v>104</v>
      </c>
      <c r="BF293" s="271" t="s">
        <v>105</v>
      </c>
      <c r="BG293" s="269">
        <v>0</v>
      </c>
      <c r="BH293" s="42">
        <v>27000</v>
      </c>
      <c r="BI293" s="47" t="s">
        <v>100</v>
      </c>
      <c r="BJ293" s="32" t="s">
        <v>101</v>
      </c>
      <c r="BK293" s="32" t="s">
        <v>100</v>
      </c>
      <c r="BL293" s="26" t="s">
        <v>106</v>
      </c>
      <c r="BM293" s="26" t="s">
        <v>107</v>
      </c>
      <c r="BN293" s="209">
        <v>0</v>
      </c>
      <c r="BO293" s="26" t="s">
        <v>108</v>
      </c>
      <c r="BP293" s="34" t="s">
        <v>109</v>
      </c>
      <c r="BQ293" s="209">
        <v>4000</v>
      </c>
      <c r="BR293" s="26" t="s">
        <v>108</v>
      </c>
      <c r="BS293" s="34" t="s">
        <v>110</v>
      </c>
      <c r="BT293" s="209">
        <v>5500</v>
      </c>
      <c r="BU293" s="211">
        <v>11000</v>
      </c>
      <c r="BV293" s="212" t="s">
        <v>100</v>
      </c>
      <c r="BW293" s="212" t="s">
        <v>286</v>
      </c>
      <c r="BX293" s="213" t="s">
        <v>100</v>
      </c>
      <c r="BY293" s="213" t="s">
        <v>100</v>
      </c>
      <c r="BZ293" s="45">
        <v>2000</v>
      </c>
    </row>
    <row r="294" spans="3:78" ht="26.25" thickBot="1">
      <c r="C294" s="1"/>
      <c r="D294" s="296"/>
      <c r="E294" s="299"/>
      <c r="F294" s="302"/>
      <c r="G294" s="175">
        <v>2500</v>
      </c>
      <c r="H294" s="77">
        <v>2000</v>
      </c>
      <c r="I294" s="77">
        <v>10000</v>
      </c>
      <c r="J294" s="77">
        <v>10000</v>
      </c>
      <c r="K294" s="77">
        <v>50</v>
      </c>
      <c r="L294" s="77">
        <v>145</v>
      </c>
      <c r="M294" s="136" t="s">
        <v>232</v>
      </c>
      <c r="N294" s="78">
        <f t="shared" si="4"/>
        <v>333240.95999999996</v>
      </c>
      <c r="O294" s="77" t="s">
        <v>89</v>
      </c>
      <c r="P294" s="77">
        <v>8</v>
      </c>
      <c r="Q294" s="79" t="s">
        <v>198</v>
      </c>
      <c r="R294" s="79" t="s">
        <v>91</v>
      </c>
      <c r="S294" s="79" t="s">
        <v>199</v>
      </c>
      <c r="T294" s="80" t="s">
        <v>92</v>
      </c>
      <c r="U294" s="80" t="s">
        <v>93</v>
      </c>
      <c r="V294" s="77" t="s">
        <v>99</v>
      </c>
      <c r="W294" s="77">
        <v>31</v>
      </c>
      <c r="X294" s="81" t="s">
        <v>95</v>
      </c>
      <c r="Y294" s="81" t="s">
        <v>96</v>
      </c>
      <c r="Z294" s="170">
        <v>18000</v>
      </c>
      <c r="AA294" s="136" t="s">
        <v>203</v>
      </c>
      <c r="AB294" s="170">
        <v>4300</v>
      </c>
      <c r="AC294" s="176" t="s">
        <v>97</v>
      </c>
      <c r="AD294" s="177" t="s">
        <v>97</v>
      </c>
      <c r="AE294" s="35"/>
      <c r="AF294" s="37">
        <f t="shared" si="5"/>
        <v>313246.08000000002</v>
      </c>
      <c r="AG294" s="29" t="s">
        <v>98</v>
      </c>
      <c r="AH294" s="218">
        <v>32977</v>
      </c>
      <c r="AI294" s="219" t="s">
        <v>232</v>
      </c>
      <c r="AJ294" s="220">
        <v>18000</v>
      </c>
      <c r="AK294" s="220" t="s">
        <v>203</v>
      </c>
      <c r="AL294" s="220">
        <v>4300</v>
      </c>
      <c r="AM294" s="221" t="s">
        <v>99</v>
      </c>
      <c r="AN294" s="235">
        <v>68400</v>
      </c>
      <c r="AO294" s="236" t="s">
        <v>331</v>
      </c>
      <c r="AP294" s="236" t="s">
        <v>332</v>
      </c>
      <c r="AQ294" s="237">
        <v>3000</v>
      </c>
      <c r="AR294" s="237" t="s">
        <v>94</v>
      </c>
      <c r="AS294" s="237">
        <v>900</v>
      </c>
      <c r="AT294" s="29">
        <v>41</v>
      </c>
      <c r="AU294" s="29" t="s">
        <v>100</v>
      </c>
      <c r="AV294" s="31">
        <v>42</v>
      </c>
      <c r="AW294" s="31" t="s">
        <v>100</v>
      </c>
      <c r="AX294" s="209"/>
      <c r="AY294" s="285"/>
      <c r="AZ294" s="285"/>
      <c r="BA294" s="286"/>
      <c r="BB294" s="286"/>
      <c r="BC294" s="44" t="s">
        <v>204</v>
      </c>
      <c r="BD294" s="33" t="s">
        <v>103</v>
      </c>
      <c r="BE294" s="271" t="s">
        <v>104</v>
      </c>
      <c r="BF294" s="271" t="s">
        <v>105</v>
      </c>
      <c r="BG294" s="269">
        <v>0</v>
      </c>
      <c r="BH294" s="42">
        <v>27000</v>
      </c>
      <c r="BI294" s="47" t="s">
        <v>100</v>
      </c>
      <c r="BJ294" s="32" t="s">
        <v>101</v>
      </c>
      <c r="BK294" s="32" t="s">
        <v>100</v>
      </c>
      <c r="BL294" s="26" t="s">
        <v>106</v>
      </c>
      <c r="BM294" s="26" t="s">
        <v>107</v>
      </c>
      <c r="BN294" s="209">
        <v>0</v>
      </c>
      <c r="BO294" s="26" t="s">
        <v>108</v>
      </c>
      <c r="BP294" s="34" t="s">
        <v>109</v>
      </c>
      <c r="BQ294" s="209">
        <v>4000</v>
      </c>
      <c r="BR294" s="26" t="s">
        <v>108</v>
      </c>
      <c r="BS294" s="34" t="s">
        <v>110</v>
      </c>
      <c r="BT294" s="209">
        <v>5500</v>
      </c>
      <c r="BU294" s="211">
        <v>11000</v>
      </c>
      <c r="BV294" s="212" t="s">
        <v>100</v>
      </c>
      <c r="BW294" s="212" t="s">
        <v>286</v>
      </c>
      <c r="BX294" s="213" t="s">
        <v>100</v>
      </c>
      <c r="BY294" s="213" t="s">
        <v>100</v>
      </c>
      <c r="BZ294" s="45">
        <v>2000</v>
      </c>
    </row>
    <row r="295" spans="3:78" ht="25.5">
      <c r="C295" s="1"/>
      <c r="D295" s="296"/>
      <c r="E295" s="299"/>
      <c r="F295" s="302"/>
      <c r="G295" s="190">
        <v>2750</v>
      </c>
      <c r="H295" s="185">
        <v>2200</v>
      </c>
      <c r="I295" s="185">
        <v>10000</v>
      </c>
      <c r="J295" s="185">
        <v>10000</v>
      </c>
      <c r="K295" s="185">
        <v>50</v>
      </c>
      <c r="L295" s="185">
        <v>160</v>
      </c>
      <c r="M295" s="191" t="s">
        <v>233</v>
      </c>
      <c r="N295" s="186">
        <f t="shared" si="4"/>
        <v>390108.48</v>
      </c>
      <c r="O295" s="185" t="s">
        <v>89</v>
      </c>
      <c r="P295" s="185">
        <v>8</v>
      </c>
      <c r="Q295" s="187" t="s">
        <v>198</v>
      </c>
      <c r="R295" s="187" t="s">
        <v>91</v>
      </c>
      <c r="S295" s="187" t="s">
        <v>199</v>
      </c>
      <c r="T295" s="188" t="s">
        <v>92</v>
      </c>
      <c r="U295" s="188" t="s">
        <v>93</v>
      </c>
      <c r="V295" s="185" t="s">
        <v>99</v>
      </c>
      <c r="W295" s="185">
        <v>31</v>
      </c>
      <c r="X295" s="189" t="s">
        <v>95</v>
      </c>
      <c r="Y295" s="189" t="s">
        <v>96</v>
      </c>
      <c r="Z295" s="192">
        <v>27000</v>
      </c>
      <c r="AA295" s="191" t="s">
        <v>203</v>
      </c>
      <c r="AB295" s="192">
        <v>4300</v>
      </c>
      <c r="AC295" s="193" t="s">
        <v>97</v>
      </c>
      <c r="AD295" s="194" t="s">
        <v>97</v>
      </c>
      <c r="AE295" s="35"/>
      <c r="AF295" s="37">
        <f t="shared" si="5"/>
        <v>366701.76</v>
      </c>
      <c r="AG295" s="29" t="s">
        <v>98</v>
      </c>
      <c r="AH295" s="222">
        <v>38604</v>
      </c>
      <c r="AI295" s="223" t="s">
        <v>233</v>
      </c>
      <c r="AJ295" s="224">
        <v>27000</v>
      </c>
      <c r="AK295" s="224" t="s">
        <v>203</v>
      </c>
      <c r="AL295" s="224">
        <v>4300</v>
      </c>
      <c r="AM295" s="225" t="s">
        <v>99</v>
      </c>
      <c r="AN295" s="232">
        <v>68400</v>
      </c>
      <c r="AO295" s="233" t="s">
        <v>304</v>
      </c>
      <c r="AP295" s="233" t="s">
        <v>307</v>
      </c>
      <c r="AQ295" s="233">
        <v>3000</v>
      </c>
      <c r="AR295" s="233" t="s">
        <v>94</v>
      </c>
      <c r="AS295" s="233">
        <v>1500</v>
      </c>
      <c r="AT295" s="29">
        <v>41</v>
      </c>
      <c r="AU295" s="29" t="s">
        <v>100</v>
      </c>
      <c r="AV295" s="31">
        <v>42</v>
      </c>
      <c r="AW295" s="31" t="s">
        <v>100</v>
      </c>
      <c r="AX295" s="209"/>
      <c r="AY295" s="285"/>
      <c r="AZ295" s="285"/>
      <c r="BA295" s="286"/>
      <c r="BB295" s="286"/>
      <c r="BC295" s="44" t="s">
        <v>204</v>
      </c>
      <c r="BD295" s="33" t="s">
        <v>103</v>
      </c>
      <c r="BE295" s="271" t="s">
        <v>104</v>
      </c>
      <c r="BF295" s="271" t="s">
        <v>105</v>
      </c>
      <c r="BG295" s="269">
        <v>0</v>
      </c>
      <c r="BH295" s="42">
        <v>27000</v>
      </c>
      <c r="BI295" s="47" t="s">
        <v>100</v>
      </c>
      <c r="BJ295" s="32" t="s">
        <v>101</v>
      </c>
      <c r="BK295" s="32" t="s">
        <v>100</v>
      </c>
      <c r="BL295" s="26" t="s">
        <v>106</v>
      </c>
      <c r="BM295" s="26" t="s">
        <v>107</v>
      </c>
      <c r="BN295" s="209">
        <v>0</v>
      </c>
      <c r="BO295" s="26" t="s">
        <v>108</v>
      </c>
      <c r="BP295" s="34" t="s">
        <v>109</v>
      </c>
      <c r="BQ295" s="209">
        <v>4000</v>
      </c>
      <c r="BR295" s="26" t="s">
        <v>108</v>
      </c>
      <c r="BS295" s="34" t="s">
        <v>110</v>
      </c>
      <c r="BT295" s="209">
        <v>5500</v>
      </c>
      <c r="BU295" s="211">
        <v>11000</v>
      </c>
      <c r="BV295" s="212" t="s">
        <v>100</v>
      </c>
      <c r="BW295" s="212" t="s">
        <v>286</v>
      </c>
      <c r="BX295" s="213" t="s">
        <v>100</v>
      </c>
      <c r="BY295" s="213" t="s">
        <v>100</v>
      </c>
      <c r="BZ295" s="45">
        <v>2000</v>
      </c>
    </row>
    <row r="296" spans="3:78" ht="26.25" thickBot="1">
      <c r="C296" s="1"/>
      <c r="D296" s="297"/>
      <c r="E296" s="300"/>
      <c r="F296" s="303"/>
      <c r="G296" s="175">
        <v>3000</v>
      </c>
      <c r="H296" s="77">
        <v>2400</v>
      </c>
      <c r="I296" s="77">
        <v>10000</v>
      </c>
      <c r="J296" s="77">
        <v>10000</v>
      </c>
      <c r="K296" s="77">
        <v>50</v>
      </c>
      <c r="L296" s="77">
        <v>173</v>
      </c>
      <c r="M296" s="85" t="s">
        <v>233</v>
      </c>
      <c r="N296" s="78">
        <f t="shared" si="4"/>
        <v>397807.68</v>
      </c>
      <c r="O296" s="77" t="s">
        <v>89</v>
      </c>
      <c r="P296" s="77">
        <v>8</v>
      </c>
      <c r="Q296" s="79" t="s">
        <v>198</v>
      </c>
      <c r="R296" s="79" t="s">
        <v>91</v>
      </c>
      <c r="S296" s="79" t="s">
        <v>199</v>
      </c>
      <c r="T296" s="80" t="s">
        <v>92</v>
      </c>
      <c r="U296" s="80" t="s">
        <v>93</v>
      </c>
      <c r="V296" s="77" t="s">
        <v>99</v>
      </c>
      <c r="W296" s="77">
        <v>31</v>
      </c>
      <c r="X296" s="81" t="s">
        <v>95</v>
      </c>
      <c r="Y296" s="81" t="s">
        <v>96</v>
      </c>
      <c r="Z296" s="88">
        <v>27000</v>
      </c>
      <c r="AA296" s="85" t="s">
        <v>203</v>
      </c>
      <c r="AB296" s="88">
        <v>4300</v>
      </c>
      <c r="AC296" s="176" t="s">
        <v>97</v>
      </c>
      <c r="AD296" s="177" t="s">
        <v>97</v>
      </c>
      <c r="AE296" s="35"/>
      <c r="AF296" s="37">
        <f t="shared" si="5"/>
        <v>373939.20000000001</v>
      </c>
      <c r="AG296" s="29" t="s">
        <v>98</v>
      </c>
      <c r="AH296" s="218">
        <v>39366</v>
      </c>
      <c r="AI296" s="219" t="s">
        <v>233</v>
      </c>
      <c r="AJ296" s="220">
        <v>27000</v>
      </c>
      <c r="AK296" s="220" t="s">
        <v>203</v>
      </c>
      <c r="AL296" s="220">
        <v>4300</v>
      </c>
      <c r="AM296" s="221" t="s">
        <v>99</v>
      </c>
      <c r="AN296" s="235">
        <v>68400</v>
      </c>
      <c r="AO296" s="236" t="s">
        <v>304</v>
      </c>
      <c r="AP296" s="236" t="s">
        <v>307</v>
      </c>
      <c r="AQ296" s="236">
        <v>3000</v>
      </c>
      <c r="AR296" s="236" t="s">
        <v>94</v>
      </c>
      <c r="AS296" s="236">
        <v>1500</v>
      </c>
      <c r="AT296" s="29">
        <v>41</v>
      </c>
      <c r="AU296" s="29" t="s">
        <v>100</v>
      </c>
      <c r="AV296" s="31">
        <v>42</v>
      </c>
      <c r="AW296" s="31" t="s">
        <v>100</v>
      </c>
      <c r="AX296" s="209"/>
      <c r="AY296" s="285"/>
      <c r="AZ296" s="285"/>
      <c r="BA296" s="286"/>
      <c r="BB296" s="286"/>
      <c r="BC296" s="44" t="s">
        <v>204</v>
      </c>
      <c r="BD296" s="33" t="s">
        <v>103</v>
      </c>
      <c r="BE296" s="271" t="s">
        <v>104</v>
      </c>
      <c r="BF296" s="271" t="s">
        <v>105</v>
      </c>
      <c r="BG296" s="269">
        <v>0</v>
      </c>
      <c r="BH296" s="42">
        <v>27000</v>
      </c>
      <c r="BI296" s="47" t="s">
        <v>100</v>
      </c>
      <c r="BJ296" s="32" t="s">
        <v>101</v>
      </c>
      <c r="BK296" s="32" t="s">
        <v>100</v>
      </c>
      <c r="BL296" s="26" t="s">
        <v>106</v>
      </c>
      <c r="BM296" s="26" t="s">
        <v>107</v>
      </c>
      <c r="BN296" s="209">
        <v>0</v>
      </c>
      <c r="BO296" s="26" t="s">
        <v>108</v>
      </c>
      <c r="BP296" s="34" t="s">
        <v>109</v>
      </c>
      <c r="BQ296" s="209">
        <v>4000</v>
      </c>
      <c r="BR296" s="26" t="s">
        <v>108</v>
      </c>
      <c r="BS296" s="34" t="s">
        <v>110</v>
      </c>
      <c r="BT296" s="209">
        <v>5500</v>
      </c>
      <c r="BU296" s="211">
        <v>11000</v>
      </c>
      <c r="BV296" s="212" t="s">
        <v>100</v>
      </c>
      <c r="BW296" s="212" t="s">
        <v>286</v>
      </c>
      <c r="BX296" s="213" t="s">
        <v>100</v>
      </c>
      <c r="BY296" s="213" t="s">
        <v>100</v>
      </c>
      <c r="BZ296" s="45">
        <v>2000</v>
      </c>
    </row>
    <row r="297" spans="3:78" ht="13.5" thickBot="1">
      <c r="C297" s="1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  <c r="AW297" s="36"/>
      <c r="AX297" s="287"/>
      <c r="AY297" s="287"/>
      <c r="AZ297" s="287"/>
      <c r="BA297" s="287"/>
      <c r="BB297" s="287"/>
      <c r="BC297" s="36"/>
      <c r="BD297" s="36"/>
      <c r="BE297" s="36"/>
      <c r="BF297" s="36"/>
      <c r="BG297" s="36"/>
      <c r="BH297" s="36"/>
      <c r="BI297" s="36"/>
      <c r="BJ297" s="36"/>
      <c r="BK297" s="36"/>
      <c r="BL297" s="36"/>
      <c r="BM297" s="36"/>
      <c r="BN297" s="36"/>
      <c r="BO297" s="36"/>
      <c r="BP297" s="36"/>
      <c r="BQ297" s="36"/>
      <c r="BR297" s="36"/>
      <c r="BS297" s="36"/>
      <c r="BT297" s="36"/>
      <c r="BZ297" s="36"/>
    </row>
    <row r="298" spans="3:78" ht="25.5" customHeight="1">
      <c r="C298" s="1"/>
      <c r="D298" s="295">
        <v>12</v>
      </c>
      <c r="E298" s="298" t="s">
        <v>347</v>
      </c>
      <c r="F298" s="301" t="s">
        <v>346</v>
      </c>
      <c r="G298" s="67">
        <v>250</v>
      </c>
      <c r="H298" s="68">
        <v>200</v>
      </c>
      <c r="I298" s="68">
        <v>10000</v>
      </c>
      <c r="J298" s="68">
        <v>10000</v>
      </c>
      <c r="K298" s="68">
        <v>50</v>
      </c>
      <c r="L298" s="68">
        <v>15</v>
      </c>
      <c r="M298" s="83" t="s">
        <v>234</v>
      </c>
      <c r="N298" s="69">
        <f>N186*0.96</f>
        <v>192008.63999999998</v>
      </c>
      <c r="O298" s="68" t="s">
        <v>89</v>
      </c>
      <c r="P298" s="68">
        <v>9</v>
      </c>
      <c r="Q298" s="70" t="s">
        <v>198</v>
      </c>
      <c r="R298" s="70" t="s">
        <v>91</v>
      </c>
      <c r="S298" s="70" t="s">
        <v>199</v>
      </c>
      <c r="T298" s="71" t="s">
        <v>92</v>
      </c>
      <c r="U298" s="71" t="s">
        <v>93</v>
      </c>
      <c r="V298" s="68" t="s">
        <v>99</v>
      </c>
      <c r="W298" s="68">
        <v>31</v>
      </c>
      <c r="X298" s="72" t="s">
        <v>95</v>
      </c>
      <c r="Y298" s="72" t="s">
        <v>96</v>
      </c>
      <c r="Z298" s="86">
        <v>6000</v>
      </c>
      <c r="AA298" s="83" t="s">
        <v>212</v>
      </c>
      <c r="AB298" s="86">
        <v>3500</v>
      </c>
      <c r="AC298" s="68" t="s">
        <v>97</v>
      </c>
      <c r="AD298" s="73" t="s">
        <v>97</v>
      </c>
      <c r="AE298" s="28"/>
      <c r="AF298" s="37">
        <f>AF186*0.96</f>
        <v>181272</v>
      </c>
      <c r="AG298" s="29" t="s">
        <v>98</v>
      </c>
      <c r="AH298" s="226">
        <v>17708</v>
      </c>
      <c r="AI298" s="38" t="s">
        <v>234</v>
      </c>
      <c r="AJ298" s="39">
        <v>6000</v>
      </c>
      <c r="AK298" s="39" t="s">
        <v>212</v>
      </c>
      <c r="AL298" s="39">
        <v>3500</v>
      </c>
      <c r="AM298" s="30" t="s">
        <v>99</v>
      </c>
      <c r="AN298" s="40">
        <v>55100</v>
      </c>
      <c r="AO298" s="41" t="s">
        <v>331</v>
      </c>
      <c r="AP298" s="41" t="s">
        <v>332</v>
      </c>
      <c r="AQ298" s="27">
        <v>3000</v>
      </c>
      <c r="AR298" s="27" t="s">
        <v>94</v>
      </c>
      <c r="AS298" s="27">
        <v>900</v>
      </c>
      <c r="AT298" s="29">
        <v>41</v>
      </c>
      <c r="AU298" s="29" t="s">
        <v>100</v>
      </c>
      <c r="AV298" s="31">
        <v>42</v>
      </c>
      <c r="AW298" s="31" t="s">
        <v>100</v>
      </c>
      <c r="AX298" s="209"/>
      <c r="AY298" s="285"/>
      <c r="AZ298" s="285"/>
      <c r="BA298" s="286"/>
      <c r="BB298" s="286"/>
      <c r="BC298" s="44" t="s">
        <v>204</v>
      </c>
      <c r="BD298" s="33" t="s">
        <v>103</v>
      </c>
      <c r="BE298" s="271" t="s">
        <v>104</v>
      </c>
      <c r="BF298" s="271" t="s">
        <v>105</v>
      </c>
      <c r="BG298" s="269">
        <v>0</v>
      </c>
      <c r="BH298" s="42">
        <v>24000</v>
      </c>
      <c r="BI298" s="47" t="s">
        <v>100</v>
      </c>
      <c r="BJ298" s="32" t="s">
        <v>309</v>
      </c>
      <c r="BK298" s="32">
        <v>500</v>
      </c>
      <c r="BL298" s="26" t="s">
        <v>106</v>
      </c>
      <c r="BM298" s="26" t="s">
        <v>107</v>
      </c>
      <c r="BN298" s="209">
        <v>0</v>
      </c>
      <c r="BO298" s="26" t="s">
        <v>108</v>
      </c>
      <c r="BP298" s="34" t="s">
        <v>109</v>
      </c>
      <c r="BQ298" s="209">
        <v>4000</v>
      </c>
      <c r="BR298" s="26" t="s">
        <v>108</v>
      </c>
      <c r="BS298" s="34" t="s">
        <v>110</v>
      </c>
      <c r="BT298" s="209">
        <v>5500</v>
      </c>
      <c r="BU298" s="211">
        <v>11000</v>
      </c>
      <c r="BV298" s="212" t="s">
        <v>100</v>
      </c>
      <c r="BW298" s="212" t="s">
        <v>286</v>
      </c>
      <c r="BX298" s="213" t="s">
        <v>100</v>
      </c>
      <c r="BY298" s="213" t="s">
        <v>100</v>
      </c>
      <c r="BZ298" s="45">
        <v>2000</v>
      </c>
    </row>
    <row r="299" spans="3:78" ht="25.5">
      <c r="C299" s="1"/>
      <c r="D299" s="296"/>
      <c r="E299" s="299"/>
      <c r="F299" s="302"/>
      <c r="G299" s="74">
        <v>315</v>
      </c>
      <c r="H299" s="62">
        <v>250</v>
      </c>
      <c r="I299" s="62">
        <v>10000</v>
      </c>
      <c r="J299" s="62">
        <v>10000</v>
      </c>
      <c r="K299" s="62">
        <v>50</v>
      </c>
      <c r="L299" s="62">
        <v>19</v>
      </c>
      <c r="M299" s="84" t="s">
        <v>234</v>
      </c>
      <c r="N299" s="197">
        <f t="shared" ref="N299:N328" si="6">N187*0.96</f>
        <v>193540.8</v>
      </c>
      <c r="O299" s="62" t="s">
        <v>89</v>
      </c>
      <c r="P299" s="62">
        <v>9</v>
      </c>
      <c r="Q299" s="64" t="s">
        <v>198</v>
      </c>
      <c r="R299" s="64" t="s">
        <v>91</v>
      </c>
      <c r="S299" s="64" t="s">
        <v>199</v>
      </c>
      <c r="T299" s="65" t="s">
        <v>92</v>
      </c>
      <c r="U299" s="65" t="s">
        <v>93</v>
      </c>
      <c r="V299" s="62" t="s">
        <v>99</v>
      </c>
      <c r="W299" s="62">
        <v>31</v>
      </c>
      <c r="X299" s="66" t="s">
        <v>95</v>
      </c>
      <c r="Y299" s="66" t="s">
        <v>96</v>
      </c>
      <c r="Z299" s="87">
        <v>6000</v>
      </c>
      <c r="AA299" s="84" t="s">
        <v>212</v>
      </c>
      <c r="AB299" s="87">
        <v>3500</v>
      </c>
      <c r="AC299" s="62" t="s">
        <v>97</v>
      </c>
      <c r="AD299" s="75" t="s">
        <v>97</v>
      </c>
      <c r="AE299" s="35"/>
      <c r="AF299" s="37">
        <f t="shared" ref="AF299:AF328" si="7">AF187*0.96</f>
        <v>182718.72</v>
      </c>
      <c r="AG299" s="29" t="s">
        <v>98</v>
      </c>
      <c r="AH299" s="226">
        <v>17849</v>
      </c>
      <c r="AI299" s="48" t="s">
        <v>234</v>
      </c>
      <c r="AJ299" s="39">
        <v>6000</v>
      </c>
      <c r="AK299" s="39" t="s">
        <v>212</v>
      </c>
      <c r="AL299" s="39">
        <v>3500</v>
      </c>
      <c r="AM299" s="30" t="s">
        <v>99</v>
      </c>
      <c r="AN299" s="40">
        <v>55100</v>
      </c>
      <c r="AO299" s="41" t="s">
        <v>331</v>
      </c>
      <c r="AP299" s="41" t="s">
        <v>332</v>
      </c>
      <c r="AQ299" s="27">
        <v>3000</v>
      </c>
      <c r="AR299" s="27" t="s">
        <v>94</v>
      </c>
      <c r="AS299" s="27">
        <v>900</v>
      </c>
      <c r="AT299" s="29">
        <v>41</v>
      </c>
      <c r="AU299" s="29" t="s">
        <v>100</v>
      </c>
      <c r="AV299" s="31">
        <v>42</v>
      </c>
      <c r="AW299" s="31" t="s">
        <v>100</v>
      </c>
      <c r="AX299" s="209"/>
      <c r="AY299" s="285"/>
      <c r="AZ299" s="285"/>
      <c r="BA299" s="286"/>
      <c r="BB299" s="286"/>
      <c r="BC299" s="44" t="s">
        <v>204</v>
      </c>
      <c r="BD299" s="33" t="s">
        <v>103</v>
      </c>
      <c r="BE299" s="271" t="s">
        <v>104</v>
      </c>
      <c r="BF299" s="271" t="s">
        <v>105</v>
      </c>
      <c r="BG299" s="269">
        <v>0</v>
      </c>
      <c r="BH299" s="42">
        <v>24000</v>
      </c>
      <c r="BI299" s="47" t="s">
        <v>100</v>
      </c>
      <c r="BJ299" s="32" t="s">
        <v>309</v>
      </c>
      <c r="BK299" s="32">
        <v>500</v>
      </c>
      <c r="BL299" s="26" t="s">
        <v>106</v>
      </c>
      <c r="BM299" s="26" t="s">
        <v>107</v>
      </c>
      <c r="BN299" s="209">
        <v>0</v>
      </c>
      <c r="BO299" s="26" t="s">
        <v>108</v>
      </c>
      <c r="BP299" s="34" t="s">
        <v>109</v>
      </c>
      <c r="BQ299" s="209">
        <v>4000</v>
      </c>
      <c r="BR299" s="26" t="s">
        <v>108</v>
      </c>
      <c r="BS299" s="34" t="s">
        <v>110</v>
      </c>
      <c r="BT299" s="209">
        <v>5500</v>
      </c>
      <c r="BU299" s="211">
        <v>11000</v>
      </c>
      <c r="BV299" s="212" t="s">
        <v>100</v>
      </c>
      <c r="BW299" s="212" t="s">
        <v>286</v>
      </c>
      <c r="BX299" s="213" t="s">
        <v>100</v>
      </c>
      <c r="BY299" s="213" t="s">
        <v>100</v>
      </c>
      <c r="BZ299" s="45">
        <v>2000</v>
      </c>
    </row>
    <row r="300" spans="3:78" ht="25.5">
      <c r="C300" s="1"/>
      <c r="D300" s="296"/>
      <c r="E300" s="299"/>
      <c r="F300" s="302"/>
      <c r="G300" s="74">
        <v>350</v>
      </c>
      <c r="H300" s="62">
        <v>280</v>
      </c>
      <c r="I300" s="62">
        <v>10000</v>
      </c>
      <c r="J300" s="62">
        <v>10000</v>
      </c>
      <c r="K300" s="62">
        <v>50</v>
      </c>
      <c r="L300" s="62">
        <v>21</v>
      </c>
      <c r="M300" s="84" t="s">
        <v>234</v>
      </c>
      <c r="N300" s="197">
        <f t="shared" si="6"/>
        <v>194365.44</v>
      </c>
      <c r="O300" s="62" t="s">
        <v>89</v>
      </c>
      <c r="P300" s="62">
        <v>9</v>
      </c>
      <c r="Q300" s="64" t="s">
        <v>198</v>
      </c>
      <c r="R300" s="64" t="s">
        <v>91</v>
      </c>
      <c r="S300" s="64" t="s">
        <v>199</v>
      </c>
      <c r="T300" s="65" t="s">
        <v>92</v>
      </c>
      <c r="U300" s="65" t="s">
        <v>93</v>
      </c>
      <c r="V300" s="62" t="s">
        <v>99</v>
      </c>
      <c r="W300" s="62">
        <v>31</v>
      </c>
      <c r="X300" s="66" t="s">
        <v>95</v>
      </c>
      <c r="Y300" s="66" t="s">
        <v>96</v>
      </c>
      <c r="Z300" s="87">
        <v>6000</v>
      </c>
      <c r="AA300" s="84" t="s">
        <v>212</v>
      </c>
      <c r="AB300" s="87">
        <v>3500</v>
      </c>
      <c r="AC300" s="62" t="s">
        <v>97</v>
      </c>
      <c r="AD300" s="75" t="s">
        <v>97</v>
      </c>
      <c r="AE300" s="35"/>
      <c r="AF300" s="37">
        <f t="shared" si="7"/>
        <v>183497.28</v>
      </c>
      <c r="AG300" s="29" t="s">
        <v>98</v>
      </c>
      <c r="AH300" s="226">
        <v>17926</v>
      </c>
      <c r="AI300" s="48" t="s">
        <v>234</v>
      </c>
      <c r="AJ300" s="39">
        <v>6000</v>
      </c>
      <c r="AK300" s="39" t="s">
        <v>212</v>
      </c>
      <c r="AL300" s="39">
        <v>3500</v>
      </c>
      <c r="AM300" s="30" t="s">
        <v>99</v>
      </c>
      <c r="AN300" s="40">
        <v>55100</v>
      </c>
      <c r="AO300" s="41" t="s">
        <v>331</v>
      </c>
      <c r="AP300" s="41" t="s">
        <v>332</v>
      </c>
      <c r="AQ300" s="27">
        <v>3000</v>
      </c>
      <c r="AR300" s="27" t="s">
        <v>94</v>
      </c>
      <c r="AS300" s="27">
        <v>900</v>
      </c>
      <c r="AT300" s="29">
        <v>41</v>
      </c>
      <c r="AU300" s="29" t="s">
        <v>100</v>
      </c>
      <c r="AV300" s="31">
        <v>42</v>
      </c>
      <c r="AW300" s="31" t="s">
        <v>100</v>
      </c>
      <c r="AX300" s="209"/>
      <c r="AY300" s="285"/>
      <c r="AZ300" s="285"/>
      <c r="BA300" s="286"/>
      <c r="BB300" s="286"/>
      <c r="BC300" s="44" t="s">
        <v>204</v>
      </c>
      <c r="BD300" s="33" t="s">
        <v>103</v>
      </c>
      <c r="BE300" s="271" t="s">
        <v>104</v>
      </c>
      <c r="BF300" s="271" t="s">
        <v>105</v>
      </c>
      <c r="BG300" s="269">
        <v>0</v>
      </c>
      <c r="BH300" s="42">
        <v>24000</v>
      </c>
      <c r="BI300" s="47" t="s">
        <v>100</v>
      </c>
      <c r="BJ300" s="32" t="s">
        <v>309</v>
      </c>
      <c r="BK300" s="32">
        <v>500</v>
      </c>
      <c r="BL300" s="26" t="s">
        <v>106</v>
      </c>
      <c r="BM300" s="26" t="s">
        <v>107</v>
      </c>
      <c r="BN300" s="209">
        <v>0</v>
      </c>
      <c r="BO300" s="26" t="s">
        <v>108</v>
      </c>
      <c r="BP300" s="34" t="s">
        <v>109</v>
      </c>
      <c r="BQ300" s="209">
        <v>4000</v>
      </c>
      <c r="BR300" s="26" t="s">
        <v>108</v>
      </c>
      <c r="BS300" s="34" t="s">
        <v>110</v>
      </c>
      <c r="BT300" s="209">
        <v>5500</v>
      </c>
      <c r="BU300" s="211">
        <v>11000</v>
      </c>
      <c r="BV300" s="212" t="s">
        <v>100</v>
      </c>
      <c r="BW300" s="212" t="s">
        <v>286</v>
      </c>
      <c r="BX300" s="213" t="s">
        <v>100</v>
      </c>
      <c r="BY300" s="213" t="s">
        <v>100</v>
      </c>
      <c r="BZ300" s="45">
        <v>2000</v>
      </c>
    </row>
    <row r="301" spans="3:78" ht="25.5">
      <c r="C301" s="1"/>
      <c r="D301" s="296"/>
      <c r="E301" s="299"/>
      <c r="F301" s="302"/>
      <c r="G301" s="74">
        <v>375</v>
      </c>
      <c r="H301" s="62">
        <v>300</v>
      </c>
      <c r="I301" s="62">
        <v>10000</v>
      </c>
      <c r="J301" s="62">
        <v>10000</v>
      </c>
      <c r="K301" s="62">
        <v>50</v>
      </c>
      <c r="L301" s="62">
        <v>23</v>
      </c>
      <c r="M301" s="84" t="s">
        <v>234</v>
      </c>
      <c r="N301" s="197">
        <f t="shared" si="6"/>
        <v>194952.95999999999</v>
      </c>
      <c r="O301" s="62" t="s">
        <v>89</v>
      </c>
      <c r="P301" s="62">
        <v>9</v>
      </c>
      <c r="Q301" s="64" t="s">
        <v>198</v>
      </c>
      <c r="R301" s="64" t="s">
        <v>91</v>
      </c>
      <c r="S301" s="64" t="s">
        <v>199</v>
      </c>
      <c r="T301" s="65" t="s">
        <v>92</v>
      </c>
      <c r="U301" s="65" t="s">
        <v>93</v>
      </c>
      <c r="V301" s="62" t="s">
        <v>99</v>
      </c>
      <c r="W301" s="62">
        <v>31</v>
      </c>
      <c r="X301" s="66" t="s">
        <v>95</v>
      </c>
      <c r="Y301" s="66" t="s">
        <v>96</v>
      </c>
      <c r="Z301" s="87">
        <v>6000</v>
      </c>
      <c r="AA301" s="84" t="s">
        <v>212</v>
      </c>
      <c r="AB301" s="87">
        <v>3500</v>
      </c>
      <c r="AC301" s="62" t="s">
        <v>97</v>
      </c>
      <c r="AD301" s="75" t="s">
        <v>97</v>
      </c>
      <c r="AE301" s="35"/>
      <c r="AF301" s="37">
        <f t="shared" si="7"/>
        <v>184051.19999999998</v>
      </c>
      <c r="AG301" s="29" t="s">
        <v>98</v>
      </c>
      <c r="AH301" s="226">
        <v>17980</v>
      </c>
      <c r="AI301" s="48" t="s">
        <v>234</v>
      </c>
      <c r="AJ301" s="39">
        <v>6000</v>
      </c>
      <c r="AK301" s="39" t="s">
        <v>212</v>
      </c>
      <c r="AL301" s="39">
        <v>3500</v>
      </c>
      <c r="AM301" s="30" t="s">
        <v>99</v>
      </c>
      <c r="AN301" s="40">
        <v>55100</v>
      </c>
      <c r="AO301" s="41" t="s">
        <v>331</v>
      </c>
      <c r="AP301" s="41" t="s">
        <v>332</v>
      </c>
      <c r="AQ301" s="27">
        <v>3000</v>
      </c>
      <c r="AR301" s="27" t="s">
        <v>94</v>
      </c>
      <c r="AS301" s="27">
        <v>900</v>
      </c>
      <c r="AT301" s="29">
        <v>41</v>
      </c>
      <c r="AU301" s="29" t="s">
        <v>100</v>
      </c>
      <c r="AV301" s="31">
        <v>42</v>
      </c>
      <c r="AW301" s="31" t="s">
        <v>100</v>
      </c>
      <c r="AX301" s="209"/>
      <c r="AY301" s="285"/>
      <c r="AZ301" s="285"/>
      <c r="BA301" s="286"/>
      <c r="BB301" s="286"/>
      <c r="BC301" s="44" t="s">
        <v>204</v>
      </c>
      <c r="BD301" s="33" t="s">
        <v>103</v>
      </c>
      <c r="BE301" s="271" t="s">
        <v>104</v>
      </c>
      <c r="BF301" s="271" t="s">
        <v>105</v>
      </c>
      <c r="BG301" s="269">
        <v>0</v>
      </c>
      <c r="BH301" s="42">
        <v>24000</v>
      </c>
      <c r="BI301" s="47" t="s">
        <v>100</v>
      </c>
      <c r="BJ301" s="32" t="s">
        <v>309</v>
      </c>
      <c r="BK301" s="32">
        <v>500</v>
      </c>
      <c r="BL301" s="26" t="s">
        <v>106</v>
      </c>
      <c r="BM301" s="26" t="s">
        <v>107</v>
      </c>
      <c r="BN301" s="209">
        <v>0</v>
      </c>
      <c r="BO301" s="26" t="s">
        <v>108</v>
      </c>
      <c r="BP301" s="34" t="s">
        <v>109</v>
      </c>
      <c r="BQ301" s="209">
        <v>4000</v>
      </c>
      <c r="BR301" s="26" t="s">
        <v>108</v>
      </c>
      <c r="BS301" s="34" t="s">
        <v>110</v>
      </c>
      <c r="BT301" s="209">
        <v>5500</v>
      </c>
      <c r="BU301" s="211">
        <v>11000</v>
      </c>
      <c r="BV301" s="212" t="s">
        <v>100</v>
      </c>
      <c r="BW301" s="212" t="s">
        <v>286</v>
      </c>
      <c r="BX301" s="213" t="s">
        <v>100</v>
      </c>
      <c r="BY301" s="213" t="s">
        <v>100</v>
      </c>
      <c r="BZ301" s="45">
        <v>2000</v>
      </c>
    </row>
    <row r="302" spans="3:78" ht="25.5">
      <c r="C302" s="1"/>
      <c r="D302" s="296"/>
      <c r="E302" s="299"/>
      <c r="F302" s="302"/>
      <c r="G302" s="74">
        <v>420</v>
      </c>
      <c r="H302" s="62">
        <v>335</v>
      </c>
      <c r="I302" s="62">
        <v>10000</v>
      </c>
      <c r="J302" s="62">
        <v>10000</v>
      </c>
      <c r="K302" s="62">
        <v>50</v>
      </c>
      <c r="L302" s="62">
        <v>25</v>
      </c>
      <c r="M302" s="84" t="s">
        <v>234</v>
      </c>
      <c r="N302" s="197">
        <f t="shared" si="6"/>
        <v>201900.47999999998</v>
      </c>
      <c r="O302" s="62" t="s">
        <v>89</v>
      </c>
      <c r="P302" s="62">
        <v>9</v>
      </c>
      <c r="Q302" s="64" t="s">
        <v>198</v>
      </c>
      <c r="R302" s="64" t="s">
        <v>91</v>
      </c>
      <c r="S302" s="64" t="s">
        <v>199</v>
      </c>
      <c r="T302" s="65" t="s">
        <v>92</v>
      </c>
      <c r="U302" s="65" t="s">
        <v>93</v>
      </c>
      <c r="V302" s="62" t="s">
        <v>99</v>
      </c>
      <c r="W302" s="62">
        <v>31</v>
      </c>
      <c r="X302" s="66" t="s">
        <v>95</v>
      </c>
      <c r="Y302" s="66" t="s">
        <v>96</v>
      </c>
      <c r="Z302" s="87">
        <v>6000</v>
      </c>
      <c r="AA302" s="84" t="s">
        <v>212</v>
      </c>
      <c r="AB302" s="87">
        <v>3500</v>
      </c>
      <c r="AC302" s="62" t="s">
        <v>97</v>
      </c>
      <c r="AD302" s="75" t="s">
        <v>97</v>
      </c>
      <c r="AE302" s="35"/>
      <c r="AF302" s="37">
        <f t="shared" si="7"/>
        <v>190610.88</v>
      </c>
      <c r="AG302" s="29" t="s">
        <v>98</v>
      </c>
      <c r="AH302" s="226">
        <v>18620</v>
      </c>
      <c r="AI302" s="48" t="s">
        <v>234</v>
      </c>
      <c r="AJ302" s="39">
        <v>6000</v>
      </c>
      <c r="AK302" s="39" t="s">
        <v>212</v>
      </c>
      <c r="AL302" s="39">
        <v>3500</v>
      </c>
      <c r="AM302" s="30" t="s">
        <v>99</v>
      </c>
      <c r="AN302" s="40">
        <v>55100</v>
      </c>
      <c r="AO302" s="41" t="s">
        <v>331</v>
      </c>
      <c r="AP302" s="41" t="s">
        <v>332</v>
      </c>
      <c r="AQ302" s="27">
        <v>3000</v>
      </c>
      <c r="AR302" s="27" t="s">
        <v>94</v>
      </c>
      <c r="AS302" s="27">
        <v>900</v>
      </c>
      <c r="AT302" s="29">
        <v>41</v>
      </c>
      <c r="AU302" s="29" t="s">
        <v>100</v>
      </c>
      <c r="AV302" s="31">
        <v>42</v>
      </c>
      <c r="AW302" s="31" t="s">
        <v>100</v>
      </c>
      <c r="AX302" s="209"/>
      <c r="AY302" s="285"/>
      <c r="AZ302" s="285"/>
      <c r="BA302" s="286"/>
      <c r="BB302" s="286"/>
      <c r="BC302" s="44" t="s">
        <v>204</v>
      </c>
      <c r="BD302" s="33" t="s">
        <v>103</v>
      </c>
      <c r="BE302" s="271" t="s">
        <v>104</v>
      </c>
      <c r="BF302" s="271" t="s">
        <v>105</v>
      </c>
      <c r="BG302" s="269">
        <v>0</v>
      </c>
      <c r="BH302" s="42">
        <v>24000</v>
      </c>
      <c r="BI302" s="47" t="s">
        <v>100</v>
      </c>
      <c r="BJ302" s="32" t="s">
        <v>309</v>
      </c>
      <c r="BK302" s="32">
        <v>500</v>
      </c>
      <c r="BL302" s="26" t="s">
        <v>106</v>
      </c>
      <c r="BM302" s="26" t="s">
        <v>107</v>
      </c>
      <c r="BN302" s="209">
        <v>0</v>
      </c>
      <c r="BO302" s="26" t="s">
        <v>108</v>
      </c>
      <c r="BP302" s="34" t="s">
        <v>109</v>
      </c>
      <c r="BQ302" s="209">
        <v>4000</v>
      </c>
      <c r="BR302" s="26" t="s">
        <v>108</v>
      </c>
      <c r="BS302" s="34" t="s">
        <v>110</v>
      </c>
      <c r="BT302" s="209">
        <v>5500</v>
      </c>
      <c r="BU302" s="211">
        <v>11000</v>
      </c>
      <c r="BV302" s="212" t="s">
        <v>100</v>
      </c>
      <c r="BW302" s="212" t="s">
        <v>286</v>
      </c>
      <c r="BX302" s="213" t="s">
        <v>100</v>
      </c>
      <c r="BY302" s="213" t="s">
        <v>100</v>
      </c>
      <c r="BZ302" s="45">
        <v>2000</v>
      </c>
    </row>
    <row r="303" spans="3:78" ht="25.5">
      <c r="C303" s="1"/>
      <c r="D303" s="296"/>
      <c r="E303" s="299"/>
      <c r="F303" s="302"/>
      <c r="G303" s="74">
        <v>445</v>
      </c>
      <c r="H303" s="62">
        <v>355</v>
      </c>
      <c r="I303" s="62">
        <v>10000</v>
      </c>
      <c r="J303" s="62">
        <v>10000</v>
      </c>
      <c r="K303" s="62">
        <v>50</v>
      </c>
      <c r="L303" s="62">
        <v>27</v>
      </c>
      <c r="M303" s="84" t="s">
        <v>234</v>
      </c>
      <c r="N303" s="197">
        <f t="shared" si="6"/>
        <v>203220.47999999998</v>
      </c>
      <c r="O303" s="62" t="s">
        <v>89</v>
      </c>
      <c r="P303" s="62">
        <v>9</v>
      </c>
      <c r="Q303" s="64" t="s">
        <v>198</v>
      </c>
      <c r="R303" s="64" t="s">
        <v>91</v>
      </c>
      <c r="S303" s="64" t="s">
        <v>199</v>
      </c>
      <c r="T303" s="65" t="s">
        <v>92</v>
      </c>
      <c r="U303" s="65" t="s">
        <v>93</v>
      </c>
      <c r="V303" s="62" t="s">
        <v>99</v>
      </c>
      <c r="W303" s="62">
        <v>31</v>
      </c>
      <c r="X303" s="66" t="s">
        <v>95</v>
      </c>
      <c r="Y303" s="66" t="s">
        <v>96</v>
      </c>
      <c r="Z303" s="87">
        <v>6000</v>
      </c>
      <c r="AA303" s="84" t="s">
        <v>212</v>
      </c>
      <c r="AB303" s="87">
        <v>3500</v>
      </c>
      <c r="AC303" s="62" t="s">
        <v>97</v>
      </c>
      <c r="AD303" s="75" t="s">
        <v>97</v>
      </c>
      <c r="AE303" s="35"/>
      <c r="AF303" s="37">
        <f t="shared" si="7"/>
        <v>191856.96</v>
      </c>
      <c r="AG303" s="29" t="s">
        <v>98</v>
      </c>
      <c r="AH303" s="226">
        <v>18742</v>
      </c>
      <c r="AI303" s="48" t="s">
        <v>234</v>
      </c>
      <c r="AJ303" s="39">
        <v>6000</v>
      </c>
      <c r="AK303" s="39" t="s">
        <v>212</v>
      </c>
      <c r="AL303" s="39">
        <v>3500</v>
      </c>
      <c r="AM303" s="30" t="s">
        <v>99</v>
      </c>
      <c r="AN303" s="40">
        <v>55100</v>
      </c>
      <c r="AO303" s="41" t="s">
        <v>331</v>
      </c>
      <c r="AP303" s="41" t="s">
        <v>332</v>
      </c>
      <c r="AQ303" s="27">
        <v>3000</v>
      </c>
      <c r="AR303" s="27" t="s">
        <v>94</v>
      </c>
      <c r="AS303" s="27">
        <v>900</v>
      </c>
      <c r="AT303" s="29">
        <v>41</v>
      </c>
      <c r="AU303" s="29" t="s">
        <v>100</v>
      </c>
      <c r="AV303" s="31">
        <v>42</v>
      </c>
      <c r="AW303" s="31" t="s">
        <v>100</v>
      </c>
      <c r="AX303" s="209"/>
      <c r="AY303" s="285"/>
      <c r="AZ303" s="285"/>
      <c r="BA303" s="286"/>
      <c r="BB303" s="286"/>
      <c r="BC303" s="44" t="s">
        <v>204</v>
      </c>
      <c r="BD303" s="33" t="s">
        <v>103</v>
      </c>
      <c r="BE303" s="271" t="s">
        <v>104</v>
      </c>
      <c r="BF303" s="271" t="s">
        <v>105</v>
      </c>
      <c r="BG303" s="269">
        <v>0</v>
      </c>
      <c r="BH303" s="42">
        <v>24000</v>
      </c>
      <c r="BI303" s="47" t="s">
        <v>100</v>
      </c>
      <c r="BJ303" s="32" t="s">
        <v>309</v>
      </c>
      <c r="BK303" s="32">
        <v>500</v>
      </c>
      <c r="BL303" s="26" t="s">
        <v>106</v>
      </c>
      <c r="BM303" s="26" t="s">
        <v>107</v>
      </c>
      <c r="BN303" s="209">
        <v>0</v>
      </c>
      <c r="BO303" s="26" t="s">
        <v>108</v>
      </c>
      <c r="BP303" s="34" t="s">
        <v>109</v>
      </c>
      <c r="BQ303" s="209">
        <v>4000</v>
      </c>
      <c r="BR303" s="26" t="s">
        <v>108</v>
      </c>
      <c r="BS303" s="34" t="s">
        <v>110</v>
      </c>
      <c r="BT303" s="209">
        <v>5500</v>
      </c>
      <c r="BU303" s="211">
        <v>11000</v>
      </c>
      <c r="BV303" s="212" t="s">
        <v>100</v>
      </c>
      <c r="BW303" s="212" t="s">
        <v>286</v>
      </c>
      <c r="BX303" s="213" t="s">
        <v>100</v>
      </c>
      <c r="BY303" s="213" t="s">
        <v>100</v>
      </c>
      <c r="BZ303" s="45">
        <v>2000</v>
      </c>
    </row>
    <row r="304" spans="3:78" ht="25.5">
      <c r="C304" s="1"/>
      <c r="D304" s="296"/>
      <c r="E304" s="299"/>
      <c r="F304" s="302"/>
      <c r="G304" s="74">
        <v>470</v>
      </c>
      <c r="H304" s="62">
        <v>375</v>
      </c>
      <c r="I304" s="62">
        <v>10000</v>
      </c>
      <c r="J304" s="62">
        <v>10000</v>
      </c>
      <c r="K304" s="62">
        <v>50</v>
      </c>
      <c r="L304" s="62">
        <v>28</v>
      </c>
      <c r="M304" s="84" t="s">
        <v>234</v>
      </c>
      <c r="N304" s="197">
        <f t="shared" si="6"/>
        <v>204276.47999999998</v>
      </c>
      <c r="O304" s="62" t="s">
        <v>89</v>
      </c>
      <c r="P304" s="62">
        <v>9</v>
      </c>
      <c r="Q304" s="64" t="s">
        <v>198</v>
      </c>
      <c r="R304" s="64" t="s">
        <v>91</v>
      </c>
      <c r="S304" s="64" t="s">
        <v>199</v>
      </c>
      <c r="T304" s="65" t="s">
        <v>92</v>
      </c>
      <c r="U304" s="65" t="s">
        <v>93</v>
      </c>
      <c r="V304" s="62" t="s">
        <v>99</v>
      </c>
      <c r="W304" s="62">
        <v>31</v>
      </c>
      <c r="X304" s="66" t="s">
        <v>95</v>
      </c>
      <c r="Y304" s="66" t="s">
        <v>96</v>
      </c>
      <c r="Z304" s="87">
        <v>6000</v>
      </c>
      <c r="AA304" s="84" t="s">
        <v>212</v>
      </c>
      <c r="AB304" s="87">
        <v>3500</v>
      </c>
      <c r="AC304" s="62" t="s">
        <v>97</v>
      </c>
      <c r="AD304" s="75" t="s">
        <v>97</v>
      </c>
      <c r="AE304" s="35"/>
      <c r="AF304" s="37">
        <f t="shared" si="7"/>
        <v>192853.44</v>
      </c>
      <c r="AG304" s="29" t="s">
        <v>98</v>
      </c>
      <c r="AH304" s="226">
        <v>18840</v>
      </c>
      <c r="AI304" s="48" t="s">
        <v>234</v>
      </c>
      <c r="AJ304" s="39">
        <v>6000</v>
      </c>
      <c r="AK304" s="39" t="s">
        <v>212</v>
      </c>
      <c r="AL304" s="39">
        <v>3500</v>
      </c>
      <c r="AM304" s="30" t="s">
        <v>99</v>
      </c>
      <c r="AN304" s="40">
        <v>55100</v>
      </c>
      <c r="AO304" s="41" t="s">
        <v>331</v>
      </c>
      <c r="AP304" s="41" t="s">
        <v>332</v>
      </c>
      <c r="AQ304" s="27">
        <v>3000</v>
      </c>
      <c r="AR304" s="27" t="s">
        <v>94</v>
      </c>
      <c r="AS304" s="27">
        <v>900</v>
      </c>
      <c r="AT304" s="29">
        <v>41</v>
      </c>
      <c r="AU304" s="29" t="s">
        <v>100</v>
      </c>
      <c r="AV304" s="31">
        <v>42</v>
      </c>
      <c r="AW304" s="31" t="s">
        <v>100</v>
      </c>
      <c r="AX304" s="209"/>
      <c r="AY304" s="285"/>
      <c r="AZ304" s="285"/>
      <c r="BA304" s="286"/>
      <c r="BB304" s="286"/>
      <c r="BC304" s="44" t="s">
        <v>204</v>
      </c>
      <c r="BD304" s="33" t="s">
        <v>103</v>
      </c>
      <c r="BE304" s="271" t="s">
        <v>104</v>
      </c>
      <c r="BF304" s="271" t="s">
        <v>105</v>
      </c>
      <c r="BG304" s="269">
        <v>0</v>
      </c>
      <c r="BH304" s="42">
        <v>24000</v>
      </c>
      <c r="BI304" s="47" t="s">
        <v>100</v>
      </c>
      <c r="BJ304" s="32" t="s">
        <v>309</v>
      </c>
      <c r="BK304" s="32">
        <v>500</v>
      </c>
      <c r="BL304" s="26" t="s">
        <v>106</v>
      </c>
      <c r="BM304" s="26" t="s">
        <v>107</v>
      </c>
      <c r="BN304" s="209">
        <v>0</v>
      </c>
      <c r="BO304" s="26" t="s">
        <v>108</v>
      </c>
      <c r="BP304" s="34" t="s">
        <v>109</v>
      </c>
      <c r="BQ304" s="209">
        <v>4000</v>
      </c>
      <c r="BR304" s="26" t="s">
        <v>108</v>
      </c>
      <c r="BS304" s="34" t="s">
        <v>110</v>
      </c>
      <c r="BT304" s="209">
        <v>5500</v>
      </c>
      <c r="BU304" s="211">
        <v>11000</v>
      </c>
      <c r="BV304" s="212" t="s">
        <v>100</v>
      </c>
      <c r="BW304" s="212" t="s">
        <v>286</v>
      </c>
      <c r="BX304" s="213" t="s">
        <v>100</v>
      </c>
      <c r="BY304" s="213" t="s">
        <v>100</v>
      </c>
      <c r="BZ304" s="45">
        <v>2000</v>
      </c>
    </row>
    <row r="305" spans="3:78" ht="26.25" thickBot="1">
      <c r="C305" s="1"/>
      <c r="D305" s="296"/>
      <c r="E305" s="299"/>
      <c r="F305" s="302"/>
      <c r="G305" s="74">
        <v>500</v>
      </c>
      <c r="H305" s="62">
        <v>400</v>
      </c>
      <c r="I305" s="62">
        <v>10000</v>
      </c>
      <c r="J305" s="62">
        <v>10000</v>
      </c>
      <c r="K305" s="62">
        <v>50</v>
      </c>
      <c r="L305" s="62">
        <v>29</v>
      </c>
      <c r="M305" s="84" t="s">
        <v>234</v>
      </c>
      <c r="N305" s="197">
        <f t="shared" si="6"/>
        <v>204276.47999999998</v>
      </c>
      <c r="O305" s="62" t="s">
        <v>89</v>
      </c>
      <c r="P305" s="62">
        <v>9</v>
      </c>
      <c r="Q305" s="64" t="s">
        <v>198</v>
      </c>
      <c r="R305" s="64" t="s">
        <v>91</v>
      </c>
      <c r="S305" s="64" t="s">
        <v>199</v>
      </c>
      <c r="T305" s="65" t="s">
        <v>92</v>
      </c>
      <c r="U305" s="65" t="s">
        <v>93</v>
      </c>
      <c r="V305" s="62" t="s">
        <v>99</v>
      </c>
      <c r="W305" s="62">
        <v>31</v>
      </c>
      <c r="X305" s="66" t="s">
        <v>95</v>
      </c>
      <c r="Y305" s="66" t="s">
        <v>96</v>
      </c>
      <c r="Z305" s="87">
        <v>6000</v>
      </c>
      <c r="AA305" s="84" t="s">
        <v>212</v>
      </c>
      <c r="AB305" s="87">
        <v>3500</v>
      </c>
      <c r="AC305" s="62" t="s">
        <v>97</v>
      </c>
      <c r="AD305" s="75" t="s">
        <v>97</v>
      </c>
      <c r="AE305" s="35"/>
      <c r="AF305" s="37">
        <f t="shared" si="7"/>
        <v>192853.44</v>
      </c>
      <c r="AG305" s="29" t="s">
        <v>98</v>
      </c>
      <c r="AH305" s="218">
        <v>18840</v>
      </c>
      <c r="AI305" s="219" t="s">
        <v>234</v>
      </c>
      <c r="AJ305" s="220">
        <v>6000</v>
      </c>
      <c r="AK305" s="220" t="s">
        <v>212</v>
      </c>
      <c r="AL305" s="220">
        <v>3500</v>
      </c>
      <c r="AM305" s="221" t="s">
        <v>99</v>
      </c>
      <c r="AN305" s="40">
        <v>55100</v>
      </c>
      <c r="AO305" s="41" t="s">
        <v>331</v>
      </c>
      <c r="AP305" s="41" t="s">
        <v>332</v>
      </c>
      <c r="AQ305" s="27">
        <v>3000</v>
      </c>
      <c r="AR305" s="27" t="s">
        <v>94</v>
      </c>
      <c r="AS305" s="27">
        <v>900</v>
      </c>
      <c r="AT305" s="29">
        <v>41</v>
      </c>
      <c r="AU305" s="29" t="s">
        <v>100</v>
      </c>
      <c r="AV305" s="31">
        <v>42</v>
      </c>
      <c r="AW305" s="31" t="s">
        <v>100</v>
      </c>
      <c r="AX305" s="209"/>
      <c r="AY305" s="285"/>
      <c r="AZ305" s="285"/>
      <c r="BA305" s="286"/>
      <c r="BB305" s="286"/>
      <c r="BC305" s="44" t="s">
        <v>204</v>
      </c>
      <c r="BD305" s="33" t="s">
        <v>103</v>
      </c>
      <c r="BE305" s="271" t="s">
        <v>104</v>
      </c>
      <c r="BF305" s="271" t="s">
        <v>105</v>
      </c>
      <c r="BG305" s="269">
        <v>0</v>
      </c>
      <c r="BH305" s="42">
        <v>24000</v>
      </c>
      <c r="BI305" s="47" t="s">
        <v>100</v>
      </c>
      <c r="BJ305" s="32" t="s">
        <v>309</v>
      </c>
      <c r="BK305" s="32">
        <v>500</v>
      </c>
      <c r="BL305" s="26" t="s">
        <v>106</v>
      </c>
      <c r="BM305" s="26" t="s">
        <v>107</v>
      </c>
      <c r="BN305" s="209">
        <v>0</v>
      </c>
      <c r="BO305" s="26" t="s">
        <v>108</v>
      </c>
      <c r="BP305" s="34" t="s">
        <v>109</v>
      </c>
      <c r="BQ305" s="209">
        <v>4000</v>
      </c>
      <c r="BR305" s="26" t="s">
        <v>108</v>
      </c>
      <c r="BS305" s="34" t="s">
        <v>110</v>
      </c>
      <c r="BT305" s="209">
        <v>5500</v>
      </c>
      <c r="BU305" s="211">
        <v>11000</v>
      </c>
      <c r="BV305" s="212" t="s">
        <v>100</v>
      </c>
      <c r="BW305" s="212" t="s">
        <v>286</v>
      </c>
      <c r="BX305" s="213" t="s">
        <v>100</v>
      </c>
      <c r="BY305" s="213" t="s">
        <v>100</v>
      </c>
      <c r="BZ305" s="45">
        <v>2000</v>
      </c>
    </row>
    <row r="306" spans="3:78" ht="25.5">
      <c r="C306" s="1"/>
      <c r="D306" s="296"/>
      <c r="E306" s="299"/>
      <c r="F306" s="302"/>
      <c r="G306" s="74">
        <v>565</v>
      </c>
      <c r="H306" s="62">
        <v>450</v>
      </c>
      <c r="I306" s="62">
        <v>10000</v>
      </c>
      <c r="J306" s="62">
        <v>10000</v>
      </c>
      <c r="K306" s="62">
        <v>50</v>
      </c>
      <c r="L306" s="62">
        <v>34</v>
      </c>
      <c r="M306" s="84" t="s">
        <v>234</v>
      </c>
      <c r="N306" s="197">
        <f t="shared" si="6"/>
        <v>206077.44</v>
      </c>
      <c r="O306" s="62" t="s">
        <v>89</v>
      </c>
      <c r="P306" s="62">
        <v>9</v>
      </c>
      <c r="Q306" s="64" t="s">
        <v>198</v>
      </c>
      <c r="R306" s="64" t="s">
        <v>91</v>
      </c>
      <c r="S306" s="64" t="s">
        <v>199</v>
      </c>
      <c r="T306" s="65" t="s">
        <v>92</v>
      </c>
      <c r="U306" s="65" t="s">
        <v>93</v>
      </c>
      <c r="V306" s="62" t="s">
        <v>99</v>
      </c>
      <c r="W306" s="62">
        <v>31</v>
      </c>
      <c r="X306" s="66" t="s">
        <v>95</v>
      </c>
      <c r="Y306" s="66" t="s">
        <v>96</v>
      </c>
      <c r="Z306" s="87">
        <v>6000</v>
      </c>
      <c r="AA306" s="84" t="s">
        <v>212</v>
      </c>
      <c r="AB306" s="87">
        <v>3500</v>
      </c>
      <c r="AC306" s="62" t="s">
        <v>97</v>
      </c>
      <c r="AD306" s="75" t="s">
        <v>97</v>
      </c>
      <c r="AE306" s="35"/>
      <c r="AF306" s="37">
        <f t="shared" si="7"/>
        <v>194553.60000000001</v>
      </c>
      <c r="AG306" s="29" t="s">
        <v>98</v>
      </c>
      <c r="AH306" s="222">
        <v>19006</v>
      </c>
      <c r="AI306" s="223" t="s">
        <v>230</v>
      </c>
      <c r="AJ306" s="224">
        <v>8000</v>
      </c>
      <c r="AK306" s="224" t="s">
        <v>209</v>
      </c>
      <c r="AL306" s="224">
        <v>3180</v>
      </c>
      <c r="AM306" s="225" t="s">
        <v>99</v>
      </c>
      <c r="AN306" s="40">
        <v>55100</v>
      </c>
      <c r="AO306" s="41" t="s">
        <v>331</v>
      </c>
      <c r="AP306" s="41" t="s">
        <v>332</v>
      </c>
      <c r="AQ306" s="27">
        <v>3000</v>
      </c>
      <c r="AR306" s="27" t="s">
        <v>94</v>
      </c>
      <c r="AS306" s="27">
        <v>900</v>
      </c>
      <c r="AT306" s="29">
        <v>41</v>
      </c>
      <c r="AU306" s="29" t="s">
        <v>100</v>
      </c>
      <c r="AV306" s="31">
        <v>42</v>
      </c>
      <c r="AW306" s="31" t="s">
        <v>100</v>
      </c>
      <c r="AX306" s="209"/>
      <c r="AY306" s="285"/>
      <c r="AZ306" s="285"/>
      <c r="BA306" s="286"/>
      <c r="BB306" s="286"/>
      <c r="BC306" s="44" t="s">
        <v>204</v>
      </c>
      <c r="BD306" s="33" t="s">
        <v>103</v>
      </c>
      <c r="BE306" s="271" t="s">
        <v>104</v>
      </c>
      <c r="BF306" s="271" t="s">
        <v>105</v>
      </c>
      <c r="BG306" s="269">
        <v>0</v>
      </c>
      <c r="BH306" s="42">
        <v>24000</v>
      </c>
      <c r="BI306" s="47" t="s">
        <v>100</v>
      </c>
      <c r="BJ306" s="32" t="s">
        <v>309</v>
      </c>
      <c r="BK306" s="32">
        <v>500</v>
      </c>
      <c r="BL306" s="26" t="s">
        <v>106</v>
      </c>
      <c r="BM306" s="26" t="s">
        <v>107</v>
      </c>
      <c r="BN306" s="209">
        <v>0</v>
      </c>
      <c r="BO306" s="26" t="s">
        <v>108</v>
      </c>
      <c r="BP306" s="34" t="s">
        <v>109</v>
      </c>
      <c r="BQ306" s="209">
        <v>4000</v>
      </c>
      <c r="BR306" s="26" t="s">
        <v>108</v>
      </c>
      <c r="BS306" s="34" t="s">
        <v>110</v>
      </c>
      <c r="BT306" s="209">
        <v>5500</v>
      </c>
      <c r="BU306" s="211">
        <v>11000</v>
      </c>
      <c r="BV306" s="212" t="s">
        <v>100</v>
      </c>
      <c r="BW306" s="212" t="s">
        <v>286</v>
      </c>
      <c r="BX306" s="213" t="s">
        <v>100</v>
      </c>
      <c r="BY306" s="213" t="s">
        <v>100</v>
      </c>
      <c r="BZ306" s="45">
        <v>2000</v>
      </c>
    </row>
    <row r="307" spans="3:78" ht="25.5">
      <c r="C307" s="1"/>
      <c r="D307" s="296"/>
      <c r="E307" s="299"/>
      <c r="F307" s="302"/>
      <c r="G307" s="74">
        <v>595</v>
      </c>
      <c r="H307" s="62">
        <v>475</v>
      </c>
      <c r="I307" s="62">
        <v>10000</v>
      </c>
      <c r="J307" s="62">
        <v>10000</v>
      </c>
      <c r="K307" s="62">
        <v>50</v>
      </c>
      <c r="L307" s="62">
        <v>36</v>
      </c>
      <c r="M307" s="84" t="s">
        <v>234</v>
      </c>
      <c r="N307" s="197">
        <f t="shared" si="6"/>
        <v>213117.12</v>
      </c>
      <c r="O307" s="62" t="s">
        <v>89</v>
      </c>
      <c r="P307" s="62">
        <v>9</v>
      </c>
      <c r="Q307" s="64" t="s">
        <v>198</v>
      </c>
      <c r="R307" s="64" t="s">
        <v>91</v>
      </c>
      <c r="S307" s="64" t="s">
        <v>199</v>
      </c>
      <c r="T307" s="65" t="s">
        <v>92</v>
      </c>
      <c r="U307" s="65" t="s">
        <v>93</v>
      </c>
      <c r="V307" s="62" t="s">
        <v>99</v>
      </c>
      <c r="W307" s="62">
        <v>31</v>
      </c>
      <c r="X307" s="66" t="s">
        <v>95</v>
      </c>
      <c r="Y307" s="66" t="s">
        <v>96</v>
      </c>
      <c r="Z307" s="87">
        <v>6000</v>
      </c>
      <c r="AA307" s="84" t="s">
        <v>212</v>
      </c>
      <c r="AB307" s="87">
        <v>3500</v>
      </c>
      <c r="AC307" s="62" t="s">
        <v>97</v>
      </c>
      <c r="AD307" s="75" t="s">
        <v>97</v>
      </c>
      <c r="AE307" s="35"/>
      <c r="AF307" s="37">
        <f t="shared" si="7"/>
        <v>201199.68</v>
      </c>
      <c r="AG307" s="29" t="s">
        <v>98</v>
      </c>
      <c r="AH307" s="226">
        <v>19655</v>
      </c>
      <c r="AI307" s="48" t="s">
        <v>230</v>
      </c>
      <c r="AJ307" s="39">
        <v>8000</v>
      </c>
      <c r="AK307" s="39" t="s">
        <v>209</v>
      </c>
      <c r="AL307" s="39">
        <v>3180</v>
      </c>
      <c r="AM307" s="30" t="s">
        <v>99</v>
      </c>
      <c r="AN307" s="40">
        <v>55100</v>
      </c>
      <c r="AO307" s="41" t="s">
        <v>331</v>
      </c>
      <c r="AP307" s="41" t="s">
        <v>332</v>
      </c>
      <c r="AQ307" s="27">
        <v>3000</v>
      </c>
      <c r="AR307" s="27" t="s">
        <v>94</v>
      </c>
      <c r="AS307" s="27">
        <v>900</v>
      </c>
      <c r="AT307" s="29">
        <v>41</v>
      </c>
      <c r="AU307" s="29" t="s">
        <v>100</v>
      </c>
      <c r="AV307" s="31">
        <v>42</v>
      </c>
      <c r="AW307" s="31" t="s">
        <v>100</v>
      </c>
      <c r="AX307" s="209"/>
      <c r="AY307" s="285"/>
      <c r="AZ307" s="285"/>
      <c r="BA307" s="286"/>
      <c r="BB307" s="286"/>
      <c r="BC307" s="44" t="s">
        <v>204</v>
      </c>
      <c r="BD307" s="33" t="s">
        <v>103</v>
      </c>
      <c r="BE307" s="271" t="s">
        <v>104</v>
      </c>
      <c r="BF307" s="271" t="s">
        <v>105</v>
      </c>
      <c r="BG307" s="269">
        <v>0</v>
      </c>
      <c r="BH307" s="42">
        <v>24000</v>
      </c>
      <c r="BI307" s="47" t="s">
        <v>100</v>
      </c>
      <c r="BJ307" s="32" t="s">
        <v>309</v>
      </c>
      <c r="BK307" s="32">
        <v>500</v>
      </c>
      <c r="BL307" s="26" t="s">
        <v>106</v>
      </c>
      <c r="BM307" s="26" t="s">
        <v>107</v>
      </c>
      <c r="BN307" s="209">
        <v>0</v>
      </c>
      <c r="BO307" s="26" t="s">
        <v>108</v>
      </c>
      <c r="BP307" s="34" t="s">
        <v>109</v>
      </c>
      <c r="BQ307" s="209">
        <v>4000</v>
      </c>
      <c r="BR307" s="26" t="s">
        <v>108</v>
      </c>
      <c r="BS307" s="34" t="s">
        <v>110</v>
      </c>
      <c r="BT307" s="209">
        <v>5500</v>
      </c>
      <c r="BU307" s="211">
        <v>11000</v>
      </c>
      <c r="BV307" s="212" t="s">
        <v>100</v>
      </c>
      <c r="BW307" s="212" t="s">
        <v>286</v>
      </c>
      <c r="BX307" s="213" t="s">
        <v>100</v>
      </c>
      <c r="BY307" s="213" t="s">
        <v>100</v>
      </c>
      <c r="BZ307" s="45">
        <v>2000</v>
      </c>
    </row>
    <row r="308" spans="3:78" ht="25.5">
      <c r="C308" s="1"/>
      <c r="D308" s="296"/>
      <c r="E308" s="299"/>
      <c r="F308" s="302"/>
      <c r="G308" s="74">
        <v>625</v>
      </c>
      <c r="H308" s="62">
        <v>500</v>
      </c>
      <c r="I308" s="62">
        <v>10000</v>
      </c>
      <c r="J308" s="62">
        <v>10000</v>
      </c>
      <c r="K308" s="62">
        <v>50</v>
      </c>
      <c r="L308" s="62">
        <v>38</v>
      </c>
      <c r="M308" s="84" t="s">
        <v>234</v>
      </c>
      <c r="N308" s="197">
        <f t="shared" si="6"/>
        <v>214924.79999999999</v>
      </c>
      <c r="O308" s="62" t="s">
        <v>89</v>
      </c>
      <c r="P308" s="62">
        <v>9</v>
      </c>
      <c r="Q308" s="64" t="s">
        <v>198</v>
      </c>
      <c r="R308" s="64" t="s">
        <v>91</v>
      </c>
      <c r="S308" s="64" t="s">
        <v>199</v>
      </c>
      <c r="T308" s="65" t="s">
        <v>92</v>
      </c>
      <c r="U308" s="65" t="s">
        <v>93</v>
      </c>
      <c r="V308" s="62" t="s">
        <v>99</v>
      </c>
      <c r="W308" s="62">
        <v>31</v>
      </c>
      <c r="X308" s="66" t="s">
        <v>95</v>
      </c>
      <c r="Y308" s="66" t="s">
        <v>96</v>
      </c>
      <c r="Z308" s="87">
        <v>6000</v>
      </c>
      <c r="AA308" s="84" t="s">
        <v>212</v>
      </c>
      <c r="AB308" s="87">
        <v>3500</v>
      </c>
      <c r="AC308" s="62" t="s">
        <v>97</v>
      </c>
      <c r="AD308" s="75" t="s">
        <v>97</v>
      </c>
      <c r="AE308" s="35"/>
      <c r="AF308" s="37">
        <f t="shared" si="7"/>
        <v>202906.56</v>
      </c>
      <c r="AG308" s="29" t="s">
        <v>98</v>
      </c>
      <c r="AH308" s="226">
        <v>19822</v>
      </c>
      <c r="AI308" s="48" t="s">
        <v>230</v>
      </c>
      <c r="AJ308" s="39">
        <v>8000</v>
      </c>
      <c r="AK308" s="39" t="s">
        <v>209</v>
      </c>
      <c r="AL308" s="39">
        <v>3180</v>
      </c>
      <c r="AM308" s="30" t="s">
        <v>99</v>
      </c>
      <c r="AN308" s="40">
        <v>55100</v>
      </c>
      <c r="AO308" s="41" t="s">
        <v>331</v>
      </c>
      <c r="AP308" s="41" t="s">
        <v>332</v>
      </c>
      <c r="AQ308" s="27">
        <v>3000</v>
      </c>
      <c r="AR308" s="27" t="s">
        <v>94</v>
      </c>
      <c r="AS308" s="27">
        <v>900</v>
      </c>
      <c r="AT308" s="29">
        <v>41</v>
      </c>
      <c r="AU308" s="29" t="s">
        <v>100</v>
      </c>
      <c r="AV308" s="31">
        <v>42</v>
      </c>
      <c r="AW308" s="31" t="s">
        <v>100</v>
      </c>
      <c r="AX308" s="209"/>
      <c r="AY308" s="285"/>
      <c r="AZ308" s="285"/>
      <c r="BA308" s="286"/>
      <c r="BB308" s="286"/>
      <c r="BC308" s="44" t="s">
        <v>204</v>
      </c>
      <c r="BD308" s="33" t="s">
        <v>103</v>
      </c>
      <c r="BE308" s="271" t="s">
        <v>104</v>
      </c>
      <c r="BF308" s="271" t="s">
        <v>105</v>
      </c>
      <c r="BG308" s="269">
        <v>0</v>
      </c>
      <c r="BH308" s="42">
        <v>24000</v>
      </c>
      <c r="BI308" s="47" t="s">
        <v>100</v>
      </c>
      <c r="BJ308" s="32" t="s">
        <v>309</v>
      </c>
      <c r="BK308" s="32">
        <v>500</v>
      </c>
      <c r="BL308" s="26" t="s">
        <v>106</v>
      </c>
      <c r="BM308" s="26" t="s">
        <v>107</v>
      </c>
      <c r="BN308" s="209">
        <v>0</v>
      </c>
      <c r="BO308" s="26" t="s">
        <v>108</v>
      </c>
      <c r="BP308" s="34" t="s">
        <v>109</v>
      </c>
      <c r="BQ308" s="209">
        <v>4000</v>
      </c>
      <c r="BR308" s="26" t="s">
        <v>108</v>
      </c>
      <c r="BS308" s="34" t="s">
        <v>110</v>
      </c>
      <c r="BT308" s="209">
        <v>5500</v>
      </c>
      <c r="BU308" s="211">
        <v>11000</v>
      </c>
      <c r="BV308" s="212" t="s">
        <v>100</v>
      </c>
      <c r="BW308" s="212" t="s">
        <v>286</v>
      </c>
      <c r="BX308" s="213" t="s">
        <v>100</v>
      </c>
      <c r="BY308" s="213" t="s">
        <v>100</v>
      </c>
      <c r="BZ308" s="45">
        <v>2000</v>
      </c>
    </row>
    <row r="309" spans="3:78" ht="25.5">
      <c r="C309" s="1"/>
      <c r="D309" s="296"/>
      <c r="E309" s="299"/>
      <c r="F309" s="302"/>
      <c r="G309" s="74">
        <v>665</v>
      </c>
      <c r="H309" s="62">
        <v>530</v>
      </c>
      <c r="I309" s="62">
        <v>10000</v>
      </c>
      <c r="J309" s="62">
        <v>10000</v>
      </c>
      <c r="K309" s="62">
        <v>50</v>
      </c>
      <c r="L309" s="62">
        <v>40</v>
      </c>
      <c r="M309" s="84" t="s">
        <v>234</v>
      </c>
      <c r="N309" s="197">
        <f t="shared" si="6"/>
        <v>215097.60000000001</v>
      </c>
      <c r="O309" s="62" t="s">
        <v>89</v>
      </c>
      <c r="P309" s="62">
        <v>9</v>
      </c>
      <c r="Q309" s="64" t="s">
        <v>198</v>
      </c>
      <c r="R309" s="64" t="s">
        <v>91</v>
      </c>
      <c r="S309" s="64" t="s">
        <v>199</v>
      </c>
      <c r="T309" s="65" t="s">
        <v>92</v>
      </c>
      <c r="U309" s="65" t="s">
        <v>93</v>
      </c>
      <c r="V309" s="62" t="s">
        <v>99</v>
      </c>
      <c r="W309" s="62">
        <v>31</v>
      </c>
      <c r="X309" s="66" t="s">
        <v>95</v>
      </c>
      <c r="Y309" s="66" t="s">
        <v>96</v>
      </c>
      <c r="Z309" s="87">
        <v>6000</v>
      </c>
      <c r="AA309" s="84" t="s">
        <v>212</v>
      </c>
      <c r="AB309" s="87">
        <v>3500</v>
      </c>
      <c r="AC309" s="62" t="s">
        <v>97</v>
      </c>
      <c r="AD309" s="75" t="s">
        <v>97</v>
      </c>
      <c r="AE309" s="35"/>
      <c r="AF309" s="37">
        <f t="shared" si="7"/>
        <v>203069.75999999998</v>
      </c>
      <c r="AG309" s="29" t="s">
        <v>98</v>
      </c>
      <c r="AH309" s="226">
        <v>19838</v>
      </c>
      <c r="AI309" s="48" t="s">
        <v>230</v>
      </c>
      <c r="AJ309" s="39">
        <v>8000</v>
      </c>
      <c r="AK309" s="39" t="s">
        <v>209</v>
      </c>
      <c r="AL309" s="39">
        <v>3180</v>
      </c>
      <c r="AM309" s="30" t="s">
        <v>99</v>
      </c>
      <c r="AN309" s="40">
        <v>61750</v>
      </c>
      <c r="AO309" s="41" t="s">
        <v>331</v>
      </c>
      <c r="AP309" s="41" t="s">
        <v>332</v>
      </c>
      <c r="AQ309" s="27">
        <v>3000</v>
      </c>
      <c r="AR309" s="27" t="s">
        <v>94</v>
      </c>
      <c r="AS309" s="27">
        <v>900</v>
      </c>
      <c r="AT309" s="29">
        <v>41</v>
      </c>
      <c r="AU309" s="29" t="s">
        <v>100</v>
      </c>
      <c r="AV309" s="31">
        <v>42</v>
      </c>
      <c r="AW309" s="31" t="s">
        <v>100</v>
      </c>
      <c r="AX309" s="209"/>
      <c r="AY309" s="285"/>
      <c r="AZ309" s="285"/>
      <c r="BA309" s="286"/>
      <c r="BB309" s="286"/>
      <c r="BC309" s="44" t="s">
        <v>204</v>
      </c>
      <c r="BD309" s="33" t="s">
        <v>103</v>
      </c>
      <c r="BE309" s="271" t="s">
        <v>104</v>
      </c>
      <c r="BF309" s="271" t="s">
        <v>105</v>
      </c>
      <c r="BG309" s="269">
        <v>0</v>
      </c>
      <c r="BH309" s="42">
        <v>24000</v>
      </c>
      <c r="BI309" s="47" t="s">
        <v>100</v>
      </c>
      <c r="BJ309" s="32" t="s">
        <v>309</v>
      </c>
      <c r="BK309" s="32">
        <v>500</v>
      </c>
      <c r="BL309" s="26" t="s">
        <v>106</v>
      </c>
      <c r="BM309" s="26" t="s">
        <v>107</v>
      </c>
      <c r="BN309" s="209">
        <v>0</v>
      </c>
      <c r="BO309" s="26" t="s">
        <v>108</v>
      </c>
      <c r="BP309" s="34" t="s">
        <v>109</v>
      </c>
      <c r="BQ309" s="209">
        <v>4000</v>
      </c>
      <c r="BR309" s="26" t="s">
        <v>108</v>
      </c>
      <c r="BS309" s="34" t="s">
        <v>110</v>
      </c>
      <c r="BT309" s="209">
        <v>5500</v>
      </c>
      <c r="BU309" s="211">
        <v>11000</v>
      </c>
      <c r="BV309" s="212" t="s">
        <v>100</v>
      </c>
      <c r="BW309" s="212" t="s">
        <v>286</v>
      </c>
      <c r="BX309" s="213" t="s">
        <v>100</v>
      </c>
      <c r="BY309" s="213" t="s">
        <v>100</v>
      </c>
      <c r="BZ309" s="45">
        <v>2000</v>
      </c>
    </row>
    <row r="310" spans="3:78" ht="26.25" thickBot="1">
      <c r="C310" s="1"/>
      <c r="D310" s="296"/>
      <c r="E310" s="299"/>
      <c r="F310" s="302"/>
      <c r="G310" s="76">
        <v>700</v>
      </c>
      <c r="H310" s="77">
        <v>560</v>
      </c>
      <c r="I310" s="77">
        <v>10000</v>
      </c>
      <c r="J310" s="77">
        <v>10000</v>
      </c>
      <c r="K310" s="77">
        <v>50</v>
      </c>
      <c r="L310" s="77">
        <v>42</v>
      </c>
      <c r="M310" s="85" t="s">
        <v>234</v>
      </c>
      <c r="N310" s="198">
        <f t="shared" si="6"/>
        <v>215749.44</v>
      </c>
      <c r="O310" s="77" t="s">
        <v>89</v>
      </c>
      <c r="P310" s="77">
        <v>9</v>
      </c>
      <c r="Q310" s="79" t="s">
        <v>198</v>
      </c>
      <c r="R310" s="79" t="s">
        <v>91</v>
      </c>
      <c r="S310" s="79" t="s">
        <v>199</v>
      </c>
      <c r="T310" s="80" t="s">
        <v>92</v>
      </c>
      <c r="U310" s="80" t="s">
        <v>93</v>
      </c>
      <c r="V310" s="77" t="s">
        <v>99</v>
      </c>
      <c r="W310" s="77">
        <v>31</v>
      </c>
      <c r="X310" s="81" t="s">
        <v>95</v>
      </c>
      <c r="Y310" s="81" t="s">
        <v>96</v>
      </c>
      <c r="Z310" s="88">
        <v>6000</v>
      </c>
      <c r="AA310" s="85" t="s">
        <v>212</v>
      </c>
      <c r="AB310" s="88">
        <v>3500</v>
      </c>
      <c r="AC310" s="77" t="s">
        <v>97</v>
      </c>
      <c r="AD310" s="82" t="s">
        <v>97</v>
      </c>
      <c r="AE310" s="35"/>
      <c r="AF310" s="37">
        <f t="shared" si="7"/>
        <v>203685.12</v>
      </c>
      <c r="AG310" s="29" t="s">
        <v>98</v>
      </c>
      <c r="AH310" s="226">
        <v>19898</v>
      </c>
      <c r="AI310" s="48" t="s">
        <v>230</v>
      </c>
      <c r="AJ310" s="39">
        <v>8000</v>
      </c>
      <c r="AK310" s="39" t="s">
        <v>209</v>
      </c>
      <c r="AL310" s="39">
        <v>3180</v>
      </c>
      <c r="AM310" s="30" t="s">
        <v>99</v>
      </c>
      <c r="AN310" s="235">
        <v>61750</v>
      </c>
      <c r="AO310" s="236" t="s">
        <v>331</v>
      </c>
      <c r="AP310" s="236" t="s">
        <v>332</v>
      </c>
      <c r="AQ310" s="237">
        <v>3000</v>
      </c>
      <c r="AR310" s="237" t="s">
        <v>94</v>
      </c>
      <c r="AS310" s="237">
        <v>900</v>
      </c>
      <c r="AT310" s="29">
        <v>41</v>
      </c>
      <c r="AU310" s="29" t="s">
        <v>100</v>
      </c>
      <c r="AV310" s="31">
        <v>42</v>
      </c>
      <c r="AW310" s="31" t="s">
        <v>100</v>
      </c>
      <c r="AX310" s="209"/>
      <c r="AY310" s="285"/>
      <c r="AZ310" s="285"/>
      <c r="BA310" s="286"/>
      <c r="BB310" s="286"/>
      <c r="BC310" s="44" t="s">
        <v>204</v>
      </c>
      <c r="BD310" s="33" t="s">
        <v>103</v>
      </c>
      <c r="BE310" s="271" t="s">
        <v>104</v>
      </c>
      <c r="BF310" s="271" t="s">
        <v>105</v>
      </c>
      <c r="BG310" s="269">
        <v>0</v>
      </c>
      <c r="BH310" s="42">
        <v>24000</v>
      </c>
      <c r="BI310" s="47" t="s">
        <v>100</v>
      </c>
      <c r="BJ310" s="32" t="s">
        <v>309</v>
      </c>
      <c r="BK310" s="32">
        <v>500</v>
      </c>
      <c r="BL310" s="26" t="s">
        <v>106</v>
      </c>
      <c r="BM310" s="26" t="s">
        <v>107</v>
      </c>
      <c r="BN310" s="209">
        <v>0</v>
      </c>
      <c r="BO310" s="26" t="s">
        <v>108</v>
      </c>
      <c r="BP310" s="34" t="s">
        <v>109</v>
      </c>
      <c r="BQ310" s="209">
        <v>4000</v>
      </c>
      <c r="BR310" s="26" t="s">
        <v>108</v>
      </c>
      <c r="BS310" s="34" t="s">
        <v>110</v>
      </c>
      <c r="BT310" s="209">
        <v>5500</v>
      </c>
      <c r="BU310" s="211">
        <v>11000</v>
      </c>
      <c r="BV310" s="212" t="s">
        <v>100</v>
      </c>
      <c r="BW310" s="212" t="s">
        <v>286</v>
      </c>
      <c r="BX310" s="213" t="s">
        <v>100</v>
      </c>
      <c r="BY310" s="213" t="s">
        <v>100</v>
      </c>
      <c r="BZ310" s="45">
        <v>2000</v>
      </c>
    </row>
    <row r="311" spans="3:78" ht="25.5">
      <c r="C311" s="1"/>
      <c r="D311" s="296"/>
      <c r="E311" s="299"/>
      <c r="F311" s="302"/>
      <c r="G311" s="67">
        <v>750</v>
      </c>
      <c r="H311" s="68">
        <v>600</v>
      </c>
      <c r="I311" s="68">
        <v>10000</v>
      </c>
      <c r="J311" s="68">
        <v>10000</v>
      </c>
      <c r="K311" s="68">
        <v>50</v>
      </c>
      <c r="L311" s="68">
        <v>45</v>
      </c>
      <c r="M311" s="103" t="s">
        <v>230</v>
      </c>
      <c r="N311" s="196">
        <f t="shared" si="6"/>
        <v>216514.56</v>
      </c>
      <c r="O311" s="68" t="s">
        <v>89</v>
      </c>
      <c r="P311" s="68">
        <v>9</v>
      </c>
      <c r="Q311" s="70" t="s">
        <v>198</v>
      </c>
      <c r="R311" s="70" t="s">
        <v>91</v>
      </c>
      <c r="S311" s="70" t="s">
        <v>199</v>
      </c>
      <c r="T311" s="71" t="s">
        <v>92</v>
      </c>
      <c r="U311" s="71" t="s">
        <v>93</v>
      </c>
      <c r="V311" s="68" t="s">
        <v>99</v>
      </c>
      <c r="W311" s="68">
        <v>31</v>
      </c>
      <c r="X311" s="72" t="s">
        <v>95</v>
      </c>
      <c r="Y311" s="72" t="s">
        <v>96</v>
      </c>
      <c r="Z311" s="104">
        <v>8000</v>
      </c>
      <c r="AA311" s="103" t="s">
        <v>209</v>
      </c>
      <c r="AB311" s="104">
        <v>3180</v>
      </c>
      <c r="AC311" s="68" t="s">
        <v>97</v>
      </c>
      <c r="AD311" s="73" t="s">
        <v>97</v>
      </c>
      <c r="AE311" s="35"/>
      <c r="AF311" s="37">
        <f t="shared" si="7"/>
        <v>204407.03999999998</v>
      </c>
      <c r="AG311" s="29" t="s">
        <v>98</v>
      </c>
      <c r="AH311" s="226">
        <v>19968</v>
      </c>
      <c r="AI311" s="48" t="s">
        <v>230</v>
      </c>
      <c r="AJ311" s="39">
        <v>8000</v>
      </c>
      <c r="AK311" s="39" t="s">
        <v>209</v>
      </c>
      <c r="AL311" s="39">
        <v>3180</v>
      </c>
      <c r="AM311" s="30" t="s">
        <v>99</v>
      </c>
      <c r="AN311" s="232">
        <v>61750</v>
      </c>
      <c r="AO311" s="233" t="s">
        <v>333</v>
      </c>
      <c r="AP311" s="233" t="s">
        <v>334</v>
      </c>
      <c r="AQ311" s="234">
        <v>3000</v>
      </c>
      <c r="AR311" s="234" t="s">
        <v>94</v>
      </c>
      <c r="AS311" s="234">
        <v>900</v>
      </c>
      <c r="AT311" s="29">
        <v>41</v>
      </c>
      <c r="AU311" s="29" t="s">
        <v>100</v>
      </c>
      <c r="AV311" s="31">
        <v>42</v>
      </c>
      <c r="AW311" s="31" t="s">
        <v>100</v>
      </c>
      <c r="AX311" s="209"/>
      <c r="AY311" s="285"/>
      <c r="AZ311" s="285"/>
      <c r="BA311" s="286"/>
      <c r="BB311" s="286"/>
      <c r="BC311" s="44" t="s">
        <v>204</v>
      </c>
      <c r="BD311" s="33" t="s">
        <v>103</v>
      </c>
      <c r="BE311" s="271" t="s">
        <v>104</v>
      </c>
      <c r="BF311" s="271" t="s">
        <v>105</v>
      </c>
      <c r="BG311" s="269">
        <v>0</v>
      </c>
      <c r="BH311" s="42">
        <v>24000</v>
      </c>
      <c r="BI311" s="47" t="s">
        <v>100</v>
      </c>
      <c r="BJ311" s="32" t="s">
        <v>309</v>
      </c>
      <c r="BK311" s="32">
        <v>500</v>
      </c>
      <c r="BL311" s="26" t="s">
        <v>106</v>
      </c>
      <c r="BM311" s="26" t="s">
        <v>107</v>
      </c>
      <c r="BN311" s="209">
        <v>0</v>
      </c>
      <c r="BO311" s="26" t="s">
        <v>108</v>
      </c>
      <c r="BP311" s="34" t="s">
        <v>109</v>
      </c>
      <c r="BQ311" s="209">
        <v>4000</v>
      </c>
      <c r="BR311" s="26" t="s">
        <v>108</v>
      </c>
      <c r="BS311" s="34" t="s">
        <v>110</v>
      </c>
      <c r="BT311" s="209">
        <v>5500</v>
      </c>
      <c r="BU311" s="211">
        <v>11000</v>
      </c>
      <c r="BV311" s="212" t="s">
        <v>100</v>
      </c>
      <c r="BW311" s="212" t="s">
        <v>286</v>
      </c>
      <c r="BX311" s="213" t="s">
        <v>100</v>
      </c>
      <c r="BY311" s="213" t="s">
        <v>100</v>
      </c>
      <c r="BZ311" s="45">
        <v>2000</v>
      </c>
    </row>
    <row r="312" spans="3:78" ht="25.5">
      <c r="C312" s="1"/>
      <c r="D312" s="296"/>
      <c r="E312" s="299"/>
      <c r="F312" s="302"/>
      <c r="G312" s="74">
        <v>790</v>
      </c>
      <c r="H312" s="62">
        <v>630</v>
      </c>
      <c r="I312" s="62">
        <v>10000</v>
      </c>
      <c r="J312" s="62">
        <v>10000</v>
      </c>
      <c r="K312" s="62">
        <v>50</v>
      </c>
      <c r="L312" s="62">
        <v>47</v>
      </c>
      <c r="M312" s="101" t="s">
        <v>230</v>
      </c>
      <c r="N312" s="197">
        <f t="shared" si="6"/>
        <v>217966.07999999999</v>
      </c>
      <c r="O312" s="62" t="s">
        <v>89</v>
      </c>
      <c r="P312" s="62">
        <v>9</v>
      </c>
      <c r="Q312" s="64" t="s">
        <v>198</v>
      </c>
      <c r="R312" s="64" t="s">
        <v>91</v>
      </c>
      <c r="S312" s="64" t="s">
        <v>199</v>
      </c>
      <c r="T312" s="65" t="s">
        <v>92</v>
      </c>
      <c r="U312" s="65" t="s">
        <v>93</v>
      </c>
      <c r="V312" s="62" t="s">
        <v>99</v>
      </c>
      <c r="W312" s="62">
        <v>31</v>
      </c>
      <c r="X312" s="66" t="s">
        <v>95</v>
      </c>
      <c r="Y312" s="66" t="s">
        <v>96</v>
      </c>
      <c r="Z312" s="102">
        <v>8000</v>
      </c>
      <c r="AA312" s="101" t="s">
        <v>209</v>
      </c>
      <c r="AB312" s="102">
        <v>3180</v>
      </c>
      <c r="AC312" s="62" t="s">
        <v>97</v>
      </c>
      <c r="AD312" s="75" t="s">
        <v>97</v>
      </c>
      <c r="AE312" s="35"/>
      <c r="AF312" s="37">
        <f t="shared" si="7"/>
        <v>205777.91999999998</v>
      </c>
      <c r="AG312" s="29" t="s">
        <v>98</v>
      </c>
      <c r="AH312" s="226">
        <v>20102</v>
      </c>
      <c r="AI312" s="48" t="s">
        <v>230</v>
      </c>
      <c r="AJ312" s="39">
        <v>8000</v>
      </c>
      <c r="AK312" s="39" t="s">
        <v>209</v>
      </c>
      <c r="AL312" s="39">
        <v>3180</v>
      </c>
      <c r="AM312" s="30" t="s">
        <v>99</v>
      </c>
      <c r="AN312" s="40">
        <v>61750</v>
      </c>
      <c r="AO312" s="41" t="s">
        <v>333</v>
      </c>
      <c r="AP312" s="41" t="s">
        <v>334</v>
      </c>
      <c r="AQ312" s="27">
        <v>3000</v>
      </c>
      <c r="AR312" s="27" t="s">
        <v>94</v>
      </c>
      <c r="AS312" s="27">
        <v>900</v>
      </c>
      <c r="AT312" s="29">
        <v>41</v>
      </c>
      <c r="AU312" s="29" t="s">
        <v>100</v>
      </c>
      <c r="AV312" s="31">
        <v>42</v>
      </c>
      <c r="AW312" s="31" t="s">
        <v>100</v>
      </c>
      <c r="AX312" s="209"/>
      <c r="AY312" s="285"/>
      <c r="AZ312" s="285"/>
      <c r="BA312" s="286"/>
      <c r="BB312" s="286"/>
      <c r="BC312" s="44" t="s">
        <v>204</v>
      </c>
      <c r="BD312" s="33" t="s">
        <v>103</v>
      </c>
      <c r="BE312" s="271" t="s">
        <v>104</v>
      </c>
      <c r="BF312" s="271" t="s">
        <v>105</v>
      </c>
      <c r="BG312" s="269">
        <v>0</v>
      </c>
      <c r="BH312" s="42">
        <v>24000</v>
      </c>
      <c r="BI312" s="47" t="s">
        <v>100</v>
      </c>
      <c r="BJ312" s="32" t="s">
        <v>309</v>
      </c>
      <c r="BK312" s="32">
        <v>500</v>
      </c>
      <c r="BL312" s="26" t="s">
        <v>106</v>
      </c>
      <c r="BM312" s="26" t="s">
        <v>107</v>
      </c>
      <c r="BN312" s="209">
        <v>0</v>
      </c>
      <c r="BO312" s="26" t="s">
        <v>108</v>
      </c>
      <c r="BP312" s="34" t="s">
        <v>109</v>
      </c>
      <c r="BQ312" s="209">
        <v>4000</v>
      </c>
      <c r="BR312" s="26" t="s">
        <v>108</v>
      </c>
      <c r="BS312" s="34" t="s">
        <v>110</v>
      </c>
      <c r="BT312" s="209">
        <v>5500</v>
      </c>
      <c r="BU312" s="211">
        <v>11000</v>
      </c>
      <c r="BV312" s="212" t="s">
        <v>100</v>
      </c>
      <c r="BW312" s="212" t="s">
        <v>286</v>
      </c>
      <c r="BX312" s="213" t="s">
        <v>100</v>
      </c>
      <c r="BY312" s="213" t="s">
        <v>100</v>
      </c>
      <c r="BZ312" s="45">
        <v>2000</v>
      </c>
    </row>
    <row r="313" spans="3:78" ht="25.5">
      <c r="C313" s="1"/>
      <c r="D313" s="296"/>
      <c r="E313" s="299"/>
      <c r="F313" s="302"/>
      <c r="G313" s="74">
        <v>840</v>
      </c>
      <c r="H313" s="62">
        <v>670</v>
      </c>
      <c r="I313" s="62">
        <v>10000</v>
      </c>
      <c r="J313" s="62">
        <v>10000</v>
      </c>
      <c r="K313" s="62">
        <v>50</v>
      </c>
      <c r="L313" s="62">
        <v>49</v>
      </c>
      <c r="M313" s="101" t="s">
        <v>230</v>
      </c>
      <c r="N313" s="197">
        <f t="shared" si="6"/>
        <v>221034.23999999999</v>
      </c>
      <c r="O313" s="62" t="s">
        <v>89</v>
      </c>
      <c r="P313" s="62">
        <v>9</v>
      </c>
      <c r="Q313" s="64" t="s">
        <v>198</v>
      </c>
      <c r="R313" s="64" t="s">
        <v>91</v>
      </c>
      <c r="S313" s="64" t="s">
        <v>199</v>
      </c>
      <c r="T313" s="65" t="s">
        <v>92</v>
      </c>
      <c r="U313" s="65" t="s">
        <v>93</v>
      </c>
      <c r="V313" s="62" t="s">
        <v>99</v>
      </c>
      <c r="W313" s="62">
        <v>31</v>
      </c>
      <c r="X313" s="66" t="s">
        <v>95</v>
      </c>
      <c r="Y313" s="66" t="s">
        <v>96</v>
      </c>
      <c r="Z313" s="102">
        <v>8000</v>
      </c>
      <c r="AA313" s="101" t="s">
        <v>209</v>
      </c>
      <c r="AB313" s="102">
        <v>3180</v>
      </c>
      <c r="AC313" s="62" t="s">
        <v>97</v>
      </c>
      <c r="AD313" s="75" t="s">
        <v>97</v>
      </c>
      <c r="AE313" s="35"/>
      <c r="AF313" s="37">
        <f t="shared" si="7"/>
        <v>208674.24</v>
      </c>
      <c r="AG313" s="29" t="s">
        <v>98</v>
      </c>
      <c r="AH313" s="226">
        <v>20385</v>
      </c>
      <c r="AI313" s="48" t="s">
        <v>230</v>
      </c>
      <c r="AJ313" s="39">
        <v>8000</v>
      </c>
      <c r="AK313" s="39" t="s">
        <v>209</v>
      </c>
      <c r="AL313" s="39">
        <v>3180</v>
      </c>
      <c r="AM313" s="30" t="s">
        <v>99</v>
      </c>
      <c r="AN313" s="40">
        <v>61750</v>
      </c>
      <c r="AO313" s="41" t="s">
        <v>333</v>
      </c>
      <c r="AP313" s="41" t="s">
        <v>334</v>
      </c>
      <c r="AQ313" s="27">
        <v>3000</v>
      </c>
      <c r="AR313" s="27" t="s">
        <v>94</v>
      </c>
      <c r="AS313" s="27">
        <v>900</v>
      </c>
      <c r="AT313" s="29">
        <v>41</v>
      </c>
      <c r="AU313" s="29" t="s">
        <v>100</v>
      </c>
      <c r="AV313" s="31">
        <v>42</v>
      </c>
      <c r="AW313" s="31" t="s">
        <v>100</v>
      </c>
      <c r="AX313" s="209"/>
      <c r="AY313" s="285"/>
      <c r="AZ313" s="285"/>
      <c r="BA313" s="286"/>
      <c r="BB313" s="286"/>
      <c r="BC313" s="44" t="s">
        <v>204</v>
      </c>
      <c r="BD313" s="33" t="s">
        <v>103</v>
      </c>
      <c r="BE313" s="271" t="s">
        <v>104</v>
      </c>
      <c r="BF313" s="271" t="s">
        <v>105</v>
      </c>
      <c r="BG313" s="269">
        <v>0</v>
      </c>
      <c r="BH313" s="42">
        <v>24000</v>
      </c>
      <c r="BI313" s="47" t="s">
        <v>100</v>
      </c>
      <c r="BJ313" s="32" t="s">
        <v>309</v>
      </c>
      <c r="BK313" s="32">
        <v>500</v>
      </c>
      <c r="BL313" s="26" t="s">
        <v>106</v>
      </c>
      <c r="BM313" s="26" t="s">
        <v>107</v>
      </c>
      <c r="BN313" s="209">
        <v>0</v>
      </c>
      <c r="BO313" s="26" t="s">
        <v>108</v>
      </c>
      <c r="BP313" s="34" t="s">
        <v>109</v>
      </c>
      <c r="BQ313" s="209">
        <v>4000</v>
      </c>
      <c r="BR313" s="26" t="s">
        <v>108</v>
      </c>
      <c r="BS313" s="34" t="s">
        <v>110</v>
      </c>
      <c r="BT313" s="209">
        <v>5500</v>
      </c>
      <c r="BU313" s="211">
        <v>11000</v>
      </c>
      <c r="BV313" s="212" t="s">
        <v>100</v>
      </c>
      <c r="BW313" s="212" t="s">
        <v>286</v>
      </c>
      <c r="BX313" s="213" t="s">
        <v>100</v>
      </c>
      <c r="BY313" s="213" t="s">
        <v>100</v>
      </c>
      <c r="BZ313" s="45">
        <v>2000</v>
      </c>
    </row>
    <row r="314" spans="3:78" ht="25.5">
      <c r="C314" s="1"/>
      <c r="D314" s="296"/>
      <c r="E314" s="299"/>
      <c r="F314" s="302"/>
      <c r="G314" s="74">
        <v>890</v>
      </c>
      <c r="H314" s="62">
        <v>710</v>
      </c>
      <c r="I314" s="62">
        <v>10000</v>
      </c>
      <c r="J314" s="62">
        <v>10000</v>
      </c>
      <c r="K314" s="62">
        <v>50</v>
      </c>
      <c r="L314" s="62">
        <v>53</v>
      </c>
      <c r="M314" s="101" t="s">
        <v>230</v>
      </c>
      <c r="N314" s="197">
        <f t="shared" si="6"/>
        <v>221357.75999999998</v>
      </c>
      <c r="O314" s="62" t="s">
        <v>89</v>
      </c>
      <c r="P314" s="62">
        <v>9</v>
      </c>
      <c r="Q314" s="64" t="s">
        <v>198</v>
      </c>
      <c r="R314" s="64" t="s">
        <v>91</v>
      </c>
      <c r="S314" s="64" t="s">
        <v>199</v>
      </c>
      <c r="T314" s="65" t="s">
        <v>92</v>
      </c>
      <c r="U314" s="65" t="s">
        <v>93</v>
      </c>
      <c r="V314" s="62" t="s">
        <v>99</v>
      </c>
      <c r="W314" s="62">
        <v>31</v>
      </c>
      <c r="X314" s="66" t="s">
        <v>95</v>
      </c>
      <c r="Y314" s="66" t="s">
        <v>96</v>
      </c>
      <c r="Z314" s="102">
        <v>8000</v>
      </c>
      <c r="AA314" s="101" t="s">
        <v>209</v>
      </c>
      <c r="AB314" s="102">
        <v>3180</v>
      </c>
      <c r="AC314" s="62" t="s">
        <v>97</v>
      </c>
      <c r="AD314" s="75" t="s">
        <v>97</v>
      </c>
      <c r="AE314" s="35"/>
      <c r="AF314" s="37">
        <f t="shared" si="7"/>
        <v>208979.52</v>
      </c>
      <c r="AG314" s="29" t="s">
        <v>98</v>
      </c>
      <c r="AH314" s="226">
        <v>20415</v>
      </c>
      <c r="AI314" s="48" t="s">
        <v>230</v>
      </c>
      <c r="AJ314" s="39">
        <v>8000</v>
      </c>
      <c r="AK314" s="39" t="s">
        <v>209</v>
      </c>
      <c r="AL314" s="39">
        <v>3180</v>
      </c>
      <c r="AM314" s="30" t="s">
        <v>99</v>
      </c>
      <c r="AN314" s="40">
        <v>61750</v>
      </c>
      <c r="AO314" s="41" t="s">
        <v>333</v>
      </c>
      <c r="AP314" s="41" t="s">
        <v>334</v>
      </c>
      <c r="AQ314" s="27">
        <v>3000</v>
      </c>
      <c r="AR314" s="27" t="s">
        <v>94</v>
      </c>
      <c r="AS314" s="27">
        <v>900</v>
      </c>
      <c r="AT314" s="29">
        <v>41</v>
      </c>
      <c r="AU314" s="29" t="s">
        <v>100</v>
      </c>
      <c r="AV314" s="31">
        <v>42</v>
      </c>
      <c r="AW314" s="31" t="s">
        <v>100</v>
      </c>
      <c r="AX314" s="209"/>
      <c r="AY314" s="285"/>
      <c r="AZ314" s="285"/>
      <c r="BA314" s="286"/>
      <c r="BB314" s="286"/>
      <c r="BC314" s="44" t="s">
        <v>204</v>
      </c>
      <c r="BD314" s="33" t="s">
        <v>103</v>
      </c>
      <c r="BE314" s="271" t="s">
        <v>104</v>
      </c>
      <c r="BF314" s="271" t="s">
        <v>105</v>
      </c>
      <c r="BG314" s="269">
        <v>0</v>
      </c>
      <c r="BH314" s="42">
        <v>24000</v>
      </c>
      <c r="BI314" s="47" t="s">
        <v>100</v>
      </c>
      <c r="BJ314" s="32" t="s">
        <v>309</v>
      </c>
      <c r="BK314" s="32">
        <v>500</v>
      </c>
      <c r="BL314" s="26" t="s">
        <v>106</v>
      </c>
      <c r="BM314" s="26" t="s">
        <v>107</v>
      </c>
      <c r="BN314" s="209">
        <v>0</v>
      </c>
      <c r="BO314" s="26" t="s">
        <v>108</v>
      </c>
      <c r="BP314" s="34" t="s">
        <v>109</v>
      </c>
      <c r="BQ314" s="209">
        <v>4000</v>
      </c>
      <c r="BR314" s="26" t="s">
        <v>108</v>
      </c>
      <c r="BS314" s="34" t="s">
        <v>110</v>
      </c>
      <c r="BT314" s="209">
        <v>5500</v>
      </c>
      <c r="BU314" s="211">
        <v>11000</v>
      </c>
      <c r="BV314" s="212" t="s">
        <v>100</v>
      </c>
      <c r="BW314" s="212" t="s">
        <v>286</v>
      </c>
      <c r="BX314" s="213" t="s">
        <v>100</v>
      </c>
      <c r="BY314" s="213" t="s">
        <v>100</v>
      </c>
      <c r="BZ314" s="45">
        <v>2000</v>
      </c>
    </row>
    <row r="315" spans="3:78" ht="25.5">
      <c r="C315" s="1"/>
      <c r="D315" s="296"/>
      <c r="E315" s="299"/>
      <c r="F315" s="302"/>
      <c r="G315" s="174">
        <v>940</v>
      </c>
      <c r="H315" s="62">
        <v>750</v>
      </c>
      <c r="I315" s="62">
        <v>10000</v>
      </c>
      <c r="J315" s="62">
        <v>10000</v>
      </c>
      <c r="K315" s="62">
        <v>50</v>
      </c>
      <c r="L315" s="62">
        <v>56</v>
      </c>
      <c r="M315" s="101" t="s">
        <v>230</v>
      </c>
      <c r="N315" s="197">
        <f t="shared" si="6"/>
        <v>234197.75999999998</v>
      </c>
      <c r="O315" s="62" t="s">
        <v>89</v>
      </c>
      <c r="P315" s="62">
        <v>9</v>
      </c>
      <c r="Q315" s="64" t="s">
        <v>198</v>
      </c>
      <c r="R315" s="64" t="s">
        <v>91</v>
      </c>
      <c r="S315" s="64" t="s">
        <v>199</v>
      </c>
      <c r="T315" s="65" t="s">
        <v>92</v>
      </c>
      <c r="U315" s="65" t="s">
        <v>93</v>
      </c>
      <c r="V315" s="62" t="s">
        <v>99</v>
      </c>
      <c r="W315" s="62">
        <v>31</v>
      </c>
      <c r="X315" s="66" t="s">
        <v>95</v>
      </c>
      <c r="Y315" s="66" t="s">
        <v>96</v>
      </c>
      <c r="Z315" s="102">
        <v>8000</v>
      </c>
      <c r="AA315" s="101" t="s">
        <v>209</v>
      </c>
      <c r="AB315" s="102">
        <v>3180</v>
      </c>
      <c r="AC315" s="62" t="s">
        <v>97</v>
      </c>
      <c r="AD315" s="75" t="s">
        <v>97</v>
      </c>
      <c r="AE315" s="35"/>
      <c r="AF315" s="37">
        <f t="shared" si="7"/>
        <v>221101.44</v>
      </c>
      <c r="AG315" s="29" t="s">
        <v>98</v>
      </c>
      <c r="AH315" s="226">
        <v>21599</v>
      </c>
      <c r="AI315" s="48" t="s">
        <v>230</v>
      </c>
      <c r="AJ315" s="39">
        <v>8000</v>
      </c>
      <c r="AK315" s="39" t="s">
        <v>209</v>
      </c>
      <c r="AL315" s="39">
        <v>3180</v>
      </c>
      <c r="AM315" s="30" t="s">
        <v>99</v>
      </c>
      <c r="AN315" s="40">
        <v>61750</v>
      </c>
      <c r="AO315" s="41" t="s">
        <v>333</v>
      </c>
      <c r="AP315" s="41" t="s">
        <v>334</v>
      </c>
      <c r="AQ315" s="27">
        <v>3000</v>
      </c>
      <c r="AR315" s="27" t="s">
        <v>94</v>
      </c>
      <c r="AS315" s="27">
        <v>900</v>
      </c>
      <c r="AT315" s="29">
        <v>41</v>
      </c>
      <c r="AU315" s="29" t="s">
        <v>100</v>
      </c>
      <c r="AV315" s="31">
        <v>42</v>
      </c>
      <c r="AW315" s="31" t="s">
        <v>100</v>
      </c>
      <c r="AX315" s="209"/>
      <c r="AY315" s="285"/>
      <c r="AZ315" s="285"/>
      <c r="BA315" s="286"/>
      <c r="BB315" s="286"/>
      <c r="BC315" s="44" t="s">
        <v>204</v>
      </c>
      <c r="BD315" s="33" t="s">
        <v>103</v>
      </c>
      <c r="BE315" s="271" t="s">
        <v>104</v>
      </c>
      <c r="BF315" s="271" t="s">
        <v>105</v>
      </c>
      <c r="BG315" s="269">
        <v>0</v>
      </c>
      <c r="BH315" s="42">
        <v>24000</v>
      </c>
      <c r="BI315" s="47" t="s">
        <v>100</v>
      </c>
      <c r="BJ315" s="32" t="s">
        <v>309</v>
      </c>
      <c r="BK315" s="32">
        <v>500</v>
      </c>
      <c r="BL315" s="26" t="s">
        <v>106</v>
      </c>
      <c r="BM315" s="26" t="s">
        <v>107</v>
      </c>
      <c r="BN315" s="209">
        <v>0</v>
      </c>
      <c r="BO315" s="26" t="s">
        <v>108</v>
      </c>
      <c r="BP315" s="34" t="s">
        <v>109</v>
      </c>
      <c r="BQ315" s="209">
        <v>4000</v>
      </c>
      <c r="BR315" s="26" t="s">
        <v>108</v>
      </c>
      <c r="BS315" s="34" t="s">
        <v>110</v>
      </c>
      <c r="BT315" s="209">
        <v>5500</v>
      </c>
      <c r="BU315" s="211">
        <v>11000</v>
      </c>
      <c r="BV315" s="212" t="s">
        <v>100</v>
      </c>
      <c r="BW315" s="212" t="s">
        <v>286</v>
      </c>
      <c r="BX315" s="213" t="s">
        <v>100</v>
      </c>
      <c r="BY315" s="213" t="s">
        <v>100</v>
      </c>
      <c r="BZ315" s="45">
        <v>2000</v>
      </c>
    </row>
    <row r="316" spans="3:78" ht="25.5">
      <c r="C316" s="1"/>
      <c r="D316" s="296"/>
      <c r="E316" s="299"/>
      <c r="F316" s="302"/>
      <c r="G316" s="174">
        <v>1000</v>
      </c>
      <c r="H316" s="62">
        <v>800</v>
      </c>
      <c r="I316" s="62">
        <v>10000</v>
      </c>
      <c r="J316" s="62">
        <v>10000</v>
      </c>
      <c r="K316" s="62">
        <v>50</v>
      </c>
      <c r="L316" s="62">
        <v>58</v>
      </c>
      <c r="M316" s="101" t="s">
        <v>230</v>
      </c>
      <c r="N316" s="197">
        <f t="shared" si="6"/>
        <v>237806.4</v>
      </c>
      <c r="O316" s="62" t="s">
        <v>89</v>
      </c>
      <c r="P316" s="62">
        <v>9</v>
      </c>
      <c r="Q316" s="64" t="s">
        <v>198</v>
      </c>
      <c r="R316" s="64" t="s">
        <v>91</v>
      </c>
      <c r="S316" s="64" t="s">
        <v>199</v>
      </c>
      <c r="T316" s="65" t="s">
        <v>92</v>
      </c>
      <c r="U316" s="65" t="s">
        <v>93</v>
      </c>
      <c r="V316" s="62" t="s">
        <v>99</v>
      </c>
      <c r="W316" s="62">
        <v>31</v>
      </c>
      <c r="X316" s="66" t="s">
        <v>95</v>
      </c>
      <c r="Y316" s="66" t="s">
        <v>96</v>
      </c>
      <c r="Z316" s="102">
        <v>8000</v>
      </c>
      <c r="AA316" s="101" t="s">
        <v>209</v>
      </c>
      <c r="AB316" s="102">
        <v>3180</v>
      </c>
      <c r="AC316" s="62" t="s">
        <v>97</v>
      </c>
      <c r="AD316" s="75" t="s">
        <v>97</v>
      </c>
      <c r="AE316" s="35"/>
      <c r="AF316" s="37">
        <f t="shared" si="7"/>
        <v>224508.47999999998</v>
      </c>
      <c r="AG316" s="29" t="s">
        <v>98</v>
      </c>
      <c r="AH316" s="226">
        <v>21932</v>
      </c>
      <c r="AI316" s="48" t="s">
        <v>230</v>
      </c>
      <c r="AJ316" s="39">
        <v>8000</v>
      </c>
      <c r="AK316" s="39" t="s">
        <v>209</v>
      </c>
      <c r="AL316" s="39">
        <v>3180</v>
      </c>
      <c r="AM316" s="30" t="s">
        <v>99</v>
      </c>
      <c r="AN316" s="40">
        <v>61750</v>
      </c>
      <c r="AO316" s="41" t="s">
        <v>333</v>
      </c>
      <c r="AP316" s="41" t="s">
        <v>334</v>
      </c>
      <c r="AQ316" s="27">
        <v>3000</v>
      </c>
      <c r="AR316" s="27" t="s">
        <v>94</v>
      </c>
      <c r="AS316" s="27">
        <v>900</v>
      </c>
      <c r="AT316" s="29">
        <v>41</v>
      </c>
      <c r="AU316" s="29" t="s">
        <v>100</v>
      </c>
      <c r="AV316" s="31">
        <v>42</v>
      </c>
      <c r="AW316" s="31" t="s">
        <v>100</v>
      </c>
      <c r="AX316" s="209"/>
      <c r="AY316" s="285"/>
      <c r="AZ316" s="285"/>
      <c r="BA316" s="286"/>
      <c r="BB316" s="286"/>
      <c r="BC316" s="44" t="s">
        <v>204</v>
      </c>
      <c r="BD316" s="33" t="s">
        <v>103</v>
      </c>
      <c r="BE316" s="271" t="s">
        <v>104</v>
      </c>
      <c r="BF316" s="271" t="s">
        <v>105</v>
      </c>
      <c r="BG316" s="269">
        <v>0</v>
      </c>
      <c r="BH316" s="42">
        <v>24000</v>
      </c>
      <c r="BI316" s="47" t="s">
        <v>100</v>
      </c>
      <c r="BJ316" s="32" t="s">
        <v>309</v>
      </c>
      <c r="BK316" s="32">
        <v>500</v>
      </c>
      <c r="BL316" s="26" t="s">
        <v>106</v>
      </c>
      <c r="BM316" s="26" t="s">
        <v>107</v>
      </c>
      <c r="BN316" s="209">
        <v>0</v>
      </c>
      <c r="BO316" s="26" t="s">
        <v>108</v>
      </c>
      <c r="BP316" s="34" t="s">
        <v>109</v>
      </c>
      <c r="BQ316" s="209">
        <v>4000</v>
      </c>
      <c r="BR316" s="26" t="s">
        <v>108</v>
      </c>
      <c r="BS316" s="34" t="s">
        <v>110</v>
      </c>
      <c r="BT316" s="209">
        <v>5500</v>
      </c>
      <c r="BU316" s="211">
        <v>11000</v>
      </c>
      <c r="BV316" s="212" t="s">
        <v>100</v>
      </c>
      <c r="BW316" s="212" t="s">
        <v>286</v>
      </c>
      <c r="BX316" s="213" t="s">
        <v>100</v>
      </c>
      <c r="BY316" s="213" t="s">
        <v>100</v>
      </c>
      <c r="BZ316" s="45">
        <v>2000</v>
      </c>
    </row>
    <row r="317" spans="3:78" ht="25.5">
      <c r="C317" s="1"/>
      <c r="D317" s="296"/>
      <c r="E317" s="299"/>
      <c r="F317" s="302"/>
      <c r="G317" s="174">
        <v>1065</v>
      </c>
      <c r="H317" s="62">
        <v>850</v>
      </c>
      <c r="I317" s="62">
        <v>10000</v>
      </c>
      <c r="J317" s="62">
        <v>10000</v>
      </c>
      <c r="K317" s="62">
        <v>50</v>
      </c>
      <c r="L317" s="62">
        <v>62</v>
      </c>
      <c r="M317" s="101" t="s">
        <v>230</v>
      </c>
      <c r="N317" s="197">
        <f t="shared" si="6"/>
        <v>241218.24</v>
      </c>
      <c r="O317" s="62" t="s">
        <v>89</v>
      </c>
      <c r="P317" s="62">
        <v>9</v>
      </c>
      <c r="Q317" s="64" t="s">
        <v>198</v>
      </c>
      <c r="R317" s="64" t="s">
        <v>91</v>
      </c>
      <c r="S317" s="64" t="s">
        <v>199</v>
      </c>
      <c r="T317" s="65" t="s">
        <v>92</v>
      </c>
      <c r="U317" s="65" t="s">
        <v>93</v>
      </c>
      <c r="V317" s="62" t="s">
        <v>99</v>
      </c>
      <c r="W317" s="62">
        <v>31</v>
      </c>
      <c r="X317" s="66" t="s">
        <v>95</v>
      </c>
      <c r="Y317" s="66" t="s">
        <v>96</v>
      </c>
      <c r="Z317" s="102">
        <v>8000</v>
      </c>
      <c r="AA317" s="101" t="s">
        <v>209</v>
      </c>
      <c r="AB317" s="102">
        <v>3180</v>
      </c>
      <c r="AC317" s="62" t="s">
        <v>97</v>
      </c>
      <c r="AD317" s="75" t="s">
        <v>97</v>
      </c>
      <c r="AE317" s="35"/>
      <c r="AF317" s="37">
        <f t="shared" si="7"/>
        <v>227730.24</v>
      </c>
      <c r="AG317" s="29" t="s">
        <v>98</v>
      </c>
      <c r="AH317" s="226">
        <v>22247</v>
      </c>
      <c r="AI317" s="48" t="s">
        <v>230</v>
      </c>
      <c r="AJ317" s="39">
        <v>8000</v>
      </c>
      <c r="AK317" s="39" t="s">
        <v>209</v>
      </c>
      <c r="AL317" s="39">
        <v>3180</v>
      </c>
      <c r="AM317" s="30" t="s">
        <v>99</v>
      </c>
      <c r="AN317" s="40">
        <v>61750</v>
      </c>
      <c r="AO317" s="41" t="s">
        <v>333</v>
      </c>
      <c r="AP317" s="41" t="s">
        <v>334</v>
      </c>
      <c r="AQ317" s="27">
        <v>3000</v>
      </c>
      <c r="AR317" s="27" t="s">
        <v>94</v>
      </c>
      <c r="AS317" s="27">
        <v>900</v>
      </c>
      <c r="AT317" s="29">
        <v>41</v>
      </c>
      <c r="AU317" s="29" t="s">
        <v>100</v>
      </c>
      <c r="AV317" s="31">
        <v>42</v>
      </c>
      <c r="AW317" s="31" t="s">
        <v>100</v>
      </c>
      <c r="AX317" s="209"/>
      <c r="AY317" s="285"/>
      <c r="AZ317" s="285"/>
      <c r="BA317" s="286"/>
      <c r="BB317" s="286"/>
      <c r="BC317" s="44" t="s">
        <v>204</v>
      </c>
      <c r="BD317" s="33" t="s">
        <v>103</v>
      </c>
      <c r="BE317" s="271" t="s">
        <v>104</v>
      </c>
      <c r="BF317" s="271" t="s">
        <v>105</v>
      </c>
      <c r="BG317" s="269">
        <v>0</v>
      </c>
      <c r="BH317" s="42">
        <v>24000</v>
      </c>
      <c r="BI317" s="47" t="s">
        <v>100</v>
      </c>
      <c r="BJ317" s="32" t="s">
        <v>309</v>
      </c>
      <c r="BK317" s="32">
        <v>500</v>
      </c>
      <c r="BL317" s="26" t="s">
        <v>106</v>
      </c>
      <c r="BM317" s="26" t="s">
        <v>107</v>
      </c>
      <c r="BN317" s="209">
        <v>0</v>
      </c>
      <c r="BO317" s="26" t="s">
        <v>108</v>
      </c>
      <c r="BP317" s="34" t="s">
        <v>109</v>
      </c>
      <c r="BQ317" s="209">
        <v>4000</v>
      </c>
      <c r="BR317" s="26" t="s">
        <v>108</v>
      </c>
      <c r="BS317" s="34" t="s">
        <v>110</v>
      </c>
      <c r="BT317" s="209">
        <v>5500</v>
      </c>
      <c r="BU317" s="211">
        <v>11000</v>
      </c>
      <c r="BV317" s="212" t="s">
        <v>100</v>
      </c>
      <c r="BW317" s="212" t="s">
        <v>286</v>
      </c>
      <c r="BX317" s="213" t="s">
        <v>100</v>
      </c>
      <c r="BY317" s="213" t="s">
        <v>100</v>
      </c>
      <c r="BZ317" s="45">
        <v>2000</v>
      </c>
    </row>
    <row r="318" spans="3:78" ht="25.5">
      <c r="C318" s="1"/>
      <c r="D318" s="296"/>
      <c r="E318" s="299"/>
      <c r="F318" s="302"/>
      <c r="G318" s="174">
        <v>1125</v>
      </c>
      <c r="H318" s="62">
        <v>900</v>
      </c>
      <c r="I318" s="62">
        <v>10000</v>
      </c>
      <c r="J318" s="62">
        <v>10000</v>
      </c>
      <c r="K318" s="62">
        <v>50</v>
      </c>
      <c r="L318" s="62">
        <v>66</v>
      </c>
      <c r="M318" s="101" t="s">
        <v>230</v>
      </c>
      <c r="N318" s="197">
        <f t="shared" si="6"/>
        <v>243579.84</v>
      </c>
      <c r="O318" s="62" t="s">
        <v>89</v>
      </c>
      <c r="P318" s="62">
        <v>9</v>
      </c>
      <c r="Q318" s="64" t="s">
        <v>198</v>
      </c>
      <c r="R318" s="64" t="s">
        <v>91</v>
      </c>
      <c r="S318" s="64" t="s">
        <v>199</v>
      </c>
      <c r="T318" s="65" t="s">
        <v>92</v>
      </c>
      <c r="U318" s="65" t="s">
        <v>93</v>
      </c>
      <c r="V318" s="62" t="s">
        <v>99</v>
      </c>
      <c r="W318" s="62">
        <v>31</v>
      </c>
      <c r="X318" s="66" t="s">
        <v>95</v>
      </c>
      <c r="Y318" s="66" t="s">
        <v>96</v>
      </c>
      <c r="Z318" s="102">
        <v>8000</v>
      </c>
      <c r="AA318" s="101" t="s">
        <v>209</v>
      </c>
      <c r="AB318" s="102">
        <v>3180</v>
      </c>
      <c r="AC318" s="183" t="s">
        <v>97</v>
      </c>
      <c r="AD318" s="184" t="s">
        <v>97</v>
      </c>
      <c r="AE318" s="35"/>
      <c r="AF318" s="37">
        <f t="shared" si="7"/>
        <v>229959.36</v>
      </c>
      <c r="AG318" s="29" t="s">
        <v>98</v>
      </c>
      <c r="AH318" s="226">
        <v>22464</v>
      </c>
      <c r="AI318" s="48" t="s">
        <v>230</v>
      </c>
      <c r="AJ318" s="39">
        <v>8000</v>
      </c>
      <c r="AK318" s="39" t="s">
        <v>209</v>
      </c>
      <c r="AL318" s="39">
        <v>3180</v>
      </c>
      <c r="AM318" s="30" t="s">
        <v>99</v>
      </c>
      <c r="AN318" s="40">
        <v>61750</v>
      </c>
      <c r="AO318" s="41" t="s">
        <v>333</v>
      </c>
      <c r="AP318" s="41" t="s">
        <v>334</v>
      </c>
      <c r="AQ318" s="27">
        <v>3000</v>
      </c>
      <c r="AR318" s="27" t="s">
        <v>94</v>
      </c>
      <c r="AS318" s="27">
        <v>900</v>
      </c>
      <c r="AT318" s="29">
        <v>41</v>
      </c>
      <c r="AU318" s="29" t="s">
        <v>100</v>
      </c>
      <c r="AV318" s="31">
        <v>42</v>
      </c>
      <c r="AW318" s="31" t="s">
        <v>100</v>
      </c>
      <c r="AX318" s="209"/>
      <c r="AY318" s="285"/>
      <c r="AZ318" s="285"/>
      <c r="BA318" s="286"/>
      <c r="BB318" s="286"/>
      <c r="BC318" s="44" t="s">
        <v>204</v>
      </c>
      <c r="BD318" s="33" t="s">
        <v>103</v>
      </c>
      <c r="BE318" s="271" t="s">
        <v>104</v>
      </c>
      <c r="BF318" s="271" t="s">
        <v>105</v>
      </c>
      <c r="BG318" s="269">
        <v>0</v>
      </c>
      <c r="BH318" s="42">
        <v>24000</v>
      </c>
      <c r="BI318" s="47" t="s">
        <v>100</v>
      </c>
      <c r="BJ318" s="32" t="s">
        <v>309</v>
      </c>
      <c r="BK318" s="32">
        <v>500</v>
      </c>
      <c r="BL318" s="26" t="s">
        <v>106</v>
      </c>
      <c r="BM318" s="26" t="s">
        <v>107</v>
      </c>
      <c r="BN318" s="209">
        <v>0</v>
      </c>
      <c r="BO318" s="26" t="s">
        <v>108</v>
      </c>
      <c r="BP318" s="34" t="s">
        <v>109</v>
      </c>
      <c r="BQ318" s="209">
        <v>4000</v>
      </c>
      <c r="BR318" s="26" t="s">
        <v>108</v>
      </c>
      <c r="BS318" s="34" t="s">
        <v>110</v>
      </c>
      <c r="BT318" s="209">
        <v>5500</v>
      </c>
      <c r="BU318" s="211">
        <v>11000</v>
      </c>
      <c r="BV318" s="212" t="s">
        <v>100</v>
      </c>
      <c r="BW318" s="212" t="s">
        <v>286</v>
      </c>
      <c r="BX318" s="213" t="s">
        <v>100</v>
      </c>
      <c r="BY318" s="213" t="s">
        <v>100</v>
      </c>
      <c r="BZ318" s="45">
        <v>2000</v>
      </c>
    </row>
    <row r="319" spans="3:78" ht="25.5">
      <c r="C319" s="1"/>
      <c r="D319" s="296"/>
      <c r="E319" s="299"/>
      <c r="F319" s="302"/>
      <c r="G319" s="174">
        <v>1190</v>
      </c>
      <c r="H319" s="62">
        <v>950</v>
      </c>
      <c r="I319" s="62">
        <v>10000</v>
      </c>
      <c r="J319" s="62">
        <v>10000</v>
      </c>
      <c r="K319" s="62">
        <v>50</v>
      </c>
      <c r="L319" s="62">
        <v>70</v>
      </c>
      <c r="M319" s="101" t="s">
        <v>230</v>
      </c>
      <c r="N319" s="197">
        <f t="shared" si="6"/>
        <v>246945.59999999998</v>
      </c>
      <c r="O319" s="62" t="s">
        <v>89</v>
      </c>
      <c r="P319" s="62">
        <v>9</v>
      </c>
      <c r="Q319" s="64" t="s">
        <v>198</v>
      </c>
      <c r="R319" s="64" t="s">
        <v>91</v>
      </c>
      <c r="S319" s="64" t="s">
        <v>199</v>
      </c>
      <c r="T319" s="65" t="s">
        <v>92</v>
      </c>
      <c r="U319" s="65" t="s">
        <v>93</v>
      </c>
      <c r="V319" s="62" t="s">
        <v>99</v>
      </c>
      <c r="W319" s="62">
        <v>31</v>
      </c>
      <c r="X319" s="66" t="s">
        <v>95</v>
      </c>
      <c r="Y319" s="66" t="s">
        <v>96</v>
      </c>
      <c r="Z319" s="102">
        <v>8000</v>
      </c>
      <c r="AA319" s="101" t="s">
        <v>209</v>
      </c>
      <c r="AB319" s="102">
        <v>3180</v>
      </c>
      <c r="AC319" s="183" t="s">
        <v>97</v>
      </c>
      <c r="AD319" s="184" t="s">
        <v>97</v>
      </c>
      <c r="AE319" s="35"/>
      <c r="AF319" s="37">
        <f t="shared" si="7"/>
        <v>233136.96</v>
      </c>
      <c r="AG319" s="29" t="s">
        <v>98</v>
      </c>
      <c r="AH319" s="226">
        <v>22775</v>
      </c>
      <c r="AI319" s="48" t="s">
        <v>230</v>
      </c>
      <c r="AJ319" s="39">
        <v>8000</v>
      </c>
      <c r="AK319" s="39" t="s">
        <v>209</v>
      </c>
      <c r="AL319" s="39">
        <v>3180</v>
      </c>
      <c r="AM319" s="30" t="s">
        <v>99</v>
      </c>
      <c r="AN319" s="40">
        <v>61750</v>
      </c>
      <c r="AO319" s="41" t="s">
        <v>333</v>
      </c>
      <c r="AP319" s="41" t="s">
        <v>334</v>
      </c>
      <c r="AQ319" s="27">
        <v>3000</v>
      </c>
      <c r="AR319" s="27" t="s">
        <v>94</v>
      </c>
      <c r="AS319" s="27">
        <v>900</v>
      </c>
      <c r="AT319" s="29">
        <v>41</v>
      </c>
      <c r="AU319" s="29" t="s">
        <v>100</v>
      </c>
      <c r="AV319" s="31">
        <v>42</v>
      </c>
      <c r="AW319" s="31" t="s">
        <v>100</v>
      </c>
      <c r="AX319" s="209"/>
      <c r="AY319" s="285"/>
      <c r="AZ319" s="285"/>
      <c r="BA319" s="286"/>
      <c r="BB319" s="286"/>
      <c r="BC319" s="44" t="s">
        <v>204</v>
      </c>
      <c r="BD319" s="33" t="s">
        <v>103</v>
      </c>
      <c r="BE319" s="271" t="s">
        <v>104</v>
      </c>
      <c r="BF319" s="271" t="s">
        <v>105</v>
      </c>
      <c r="BG319" s="269">
        <v>0</v>
      </c>
      <c r="BH319" s="42">
        <v>24000</v>
      </c>
      <c r="BI319" s="47" t="s">
        <v>100</v>
      </c>
      <c r="BJ319" s="32" t="s">
        <v>309</v>
      </c>
      <c r="BK319" s="32">
        <v>500</v>
      </c>
      <c r="BL319" s="26" t="s">
        <v>106</v>
      </c>
      <c r="BM319" s="26" t="s">
        <v>107</v>
      </c>
      <c r="BN319" s="209">
        <v>0</v>
      </c>
      <c r="BO319" s="26" t="s">
        <v>108</v>
      </c>
      <c r="BP319" s="34" t="s">
        <v>109</v>
      </c>
      <c r="BQ319" s="209">
        <v>4000</v>
      </c>
      <c r="BR319" s="26" t="s">
        <v>108</v>
      </c>
      <c r="BS319" s="34" t="s">
        <v>110</v>
      </c>
      <c r="BT319" s="209">
        <v>5500</v>
      </c>
      <c r="BU319" s="211">
        <v>11000</v>
      </c>
      <c r="BV319" s="212" t="s">
        <v>100</v>
      </c>
      <c r="BW319" s="212" t="s">
        <v>286</v>
      </c>
      <c r="BX319" s="213" t="s">
        <v>100</v>
      </c>
      <c r="BY319" s="213" t="s">
        <v>100</v>
      </c>
      <c r="BZ319" s="45">
        <v>2000</v>
      </c>
    </row>
    <row r="320" spans="3:78" ht="26.25" thickBot="1">
      <c r="C320" s="1"/>
      <c r="D320" s="296"/>
      <c r="E320" s="299"/>
      <c r="F320" s="302"/>
      <c r="G320" s="175">
        <v>1250</v>
      </c>
      <c r="H320" s="77">
        <v>1000</v>
      </c>
      <c r="I320" s="77">
        <v>10000</v>
      </c>
      <c r="J320" s="77">
        <v>10000</v>
      </c>
      <c r="K320" s="77">
        <v>50</v>
      </c>
      <c r="L320" s="77">
        <v>73</v>
      </c>
      <c r="M320" s="136" t="s">
        <v>230</v>
      </c>
      <c r="N320" s="198">
        <f t="shared" si="6"/>
        <v>248165.75999999998</v>
      </c>
      <c r="O320" s="77" t="s">
        <v>89</v>
      </c>
      <c r="P320" s="77">
        <v>9</v>
      </c>
      <c r="Q320" s="79" t="s">
        <v>198</v>
      </c>
      <c r="R320" s="79" t="s">
        <v>91</v>
      </c>
      <c r="S320" s="79" t="s">
        <v>199</v>
      </c>
      <c r="T320" s="80" t="s">
        <v>92</v>
      </c>
      <c r="U320" s="80" t="s">
        <v>93</v>
      </c>
      <c r="V320" s="77" t="s">
        <v>99</v>
      </c>
      <c r="W320" s="77">
        <v>31</v>
      </c>
      <c r="X320" s="81" t="s">
        <v>95</v>
      </c>
      <c r="Y320" s="81" t="s">
        <v>96</v>
      </c>
      <c r="Z320" s="170">
        <v>8000</v>
      </c>
      <c r="AA320" s="136" t="s">
        <v>209</v>
      </c>
      <c r="AB320" s="170">
        <v>3180</v>
      </c>
      <c r="AC320" s="176" t="s">
        <v>97</v>
      </c>
      <c r="AD320" s="177" t="s">
        <v>97</v>
      </c>
      <c r="AE320" s="35"/>
      <c r="AF320" s="37">
        <f t="shared" si="7"/>
        <v>234288.96</v>
      </c>
      <c r="AG320" s="29" t="s">
        <v>98</v>
      </c>
      <c r="AH320" s="218">
        <v>22887</v>
      </c>
      <c r="AI320" s="219" t="s">
        <v>230</v>
      </c>
      <c r="AJ320" s="220">
        <v>8000</v>
      </c>
      <c r="AK320" s="220" t="s">
        <v>209</v>
      </c>
      <c r="AL320" s="220">
        <v>3180</v>
      </c>
      <c r="AM320" s="221" t="s">
        <v>99</v>
      </c>
      <c r="AN320" s="235">
        <v>61750</v>
      </c>
      <c r="AO320" s="236" t="s">
        <v>333</v>
      </c>
      <c r="AP320" s="236" t="s">
        <v>334</v>
      </c>
      <c r="AQ320" s="237">
        <v>3000</v>
      </c>
      <c r="AR320" s="237" t="s">
        <v>94</v>
      </c>
      <c r="AS320" s="237">
        <v>900</v>
      </c>
      <c r="AT320" s="29">
        <v>41</v>
      </c>
      <c r="AU320" s="29" t="s">
        <v>100</v>
      </c>
      <c r="AV320" s="31">
        <v>42</v>
      </c>
      <c r="AW320" s="31" t="s">
        <v>100</v>
      </c>
      <c r="AX320" s="209"/>
      <c r="AY320" s="285"/>
      <c r="AZ320" s="285"/>
      <c r="BA320" s="286"/>
      <c r="BB320" s="286"/>
      <c r="BC320" s="44" t="s">
        <v>204</v>
      </c>
      <c r="BD320" s="33" t="s">
        <v>103</v>
      </c>
      <c r="BE320" s="271" t="s">
        <v>104</v>
      </c>
      <c r="BF320" s="271" t="s">
        <v>105</v>
      </c>
      <c r="BG320" s="269">
        <v>0</v>
      </c>
      <c r="BH320" s="42">
        <v>24000</v>
      </c>
      <c r="BI320" s="47" t="s">
        <v>100</v>
      </c>
      <c r="BJ320" s="32" t="s">
        <v>309</v>
      </c>
      <c r="BK320" s="32">
        <v>500</v>
      </c>
      <c r="BL320" s="26" t="s">
        <v>106</v>
      </c>
      <c r="BM320" s="26" t="s">
        <v>107</v>
      </c>
      <c r="BN320" s="209">
        <v>0</v>
      </c>
      <c r="BO320" s="26" t="s">
        <v>108</v>
      </c>
      <c r="BP320" s="34" t="s">
        <v>109</v>
      </c>
      <c r="BQ320" s="209">
        <v>4000</v>
      </c>
      <c r="BR320" s="26" t="s">
        <v>108</v>
      </c>
      <c r="BS320" s="34" t="s">
        <v>110</v>
      </c>
      <c r="BT320" s="209">
        <v>5500</v>
      </c>
      <c r="BU320" s="211">
        <v>11000</v>
      </c>
      <c r="BV320" s="212" t="s">
        <v>100</v>
      </c>
      <c r="BW320" s="212" t="s">
        <v>286</v>
      </c>
      <c r="BX320" s="213" t="s">
        <v>100</v>
      </c>
      <c r="BY320" s="213" t="s">
        <v>100</v>
      </c>
      <c r="BZ320" s="45">
        <v>2000</v>
      </c>
    </row>
    <row r="321" spans="3:78" ht="25.5">
      <c r="C321" s="1"/>
      <c r="D321" s="296"/>
      <c r="E321" s="299"/>
      <c r="F321" s="302"/>
      <c r="G321" s="178">
        <v>1400</v>
      </c>
      <c r="H321" s="68">
        <v>1120</v>
      </c>
      <c r="I321" s="68">
        <v>10000</v>
      </c>
      <c r="J321" s="68">
        <v>10000</v>
      </c>
      <c r="K321" s="68">
        <v>50</v>
      </c>
      <c r="L321" s="68">
        <v>82</v>
      </c>
      <c r="M321" s="83" t="s">
        <v>231</v>
      </c>
      <c r="N321" s="196">
        <f t="shared" si="6"/>
        <v>266164.8</v>
      </c>
      <c r="O321" s="68" t="s">
        <v>89</v>
      </c>
      <c r="P321" s="68">
        <v>9</v>
      </c>
      <c r="Q321" s="70" t="s">
        <v>198</v>
      </c>
      <c r="R321" s="70" t="s">
        <v>91</v>
      </c>
      <c r="S321" s="70" t="s">
        <v>199</v>
      </c>
      <c r="T321" s="71" t="s">
        <v>92</v>
      </c>
      <c r="U321" s="71" t="s">
        <v>93</v>
      </c>
      <c r="V321" s="68" t="s">
        <v>99</v>
      </c>
      <c r="W321" s="68">
        <v>31</v>
      </c>
      <c r="X321" s="72" t="s">
        <v>95</v>
      </c>
      <c r="Y321" s="72" t="s">
        <v>96</v>
      </c>
      <c r="Z321" s="86">
        <v>12000</v>
      </c>
      <c r="AA321" s="83" t="s">
        <v>202</v>
      </c>
      <c r="AB321" s="86">
        <v>4160</v>
      </c>
      <c r="AC321" s="179" t="s">
        <v>97</v>
      </c>
      <c r="AD321" s="180" t="s">
        <v>97</v>
      </c>
      <c r="AE321" s="35"/>
      <c r="AF321" s="37">
        <f t="shared" si="7"/>
        <v>251280.96</v>
      </c>
      <c r="AG321" s="29" t="s">
        <v>98</v>
      </c>
      <c r="AH321" s="222">
        <v>24547</v>
      </c>
      <c r="AI321" s="223" t="s">
        <v>231</v>
      </c>
      <c r="AJ321" s="224">
        <v>12000</v>
      </c>
      <c r="AK321" s="224" t="s">
        <v>202</v>
      </c>
      <c r="AL321" s="224">
        <v>4160</v>
      </c>
      <c r="AM321" s="225" t="s">
        <v>99</v>
      </c>
      <c r="AN321" s="232">
        <v>61750</v>
      </c>
      <c r="AO321" s="233" t="s">
        <v>331</v>
      </c>
      <c r="AP321" s="233" t="s">
        <v>332</v>
      </c>
      <c r="AQ321" s="234">
        <v>3000</v>
      </c>
      <c r="AR321" s="234" t="s">
        <v>94</v>
      </c>
      <c r="AS321" s="234">
        <v>900</v>
      </c>
      <c r="AT321" s="29">
        <v>41</v>
      </c>
      <c r="AU321" s="29" t="s">
        <v>100</v>
      </c>
      <c r="AV321" s="31">
        <v>42</v>
      </c>
      <c r="AW321" s="31" t="s">
        <v>100</v>
      </c>
      <c r="AX321" s="209"/>
      <c r="AY321" s="285"/>
      <c r="AZ321" s="285"/>
      <c r="BA321" s="286"/>
      <c r="BB321" s="286"/>
      <c r="BC321" s="44" t="s">
        <v>204</v>
      </c>
      <c r="BD321" s="33" t="s">
        <v>103</v>
      </c>
      <c r="BE321" s="271" t="s">
        <v>104</v>
      </c>
      <c r="BF321" s="271" t="s">
        <v>105</v>
      </c>
      <c r="BG321" s="269">
        <v>0</v>
      </c>
      <c r="BH321" s="42">
        <v>24000</v>
      </c>
      <c r="BI321" s="47" t="s">
        <v>100</v>
      </c>
      <c r="BJ321" s="32" t="s">
        <v>101</v>
      </c>
      <c r="BK321" s="32" t="s">
        <v>100</v>
      </c>
      <c r="BL321" s="26" t="s">
        <v>106</v>
      </c>
      <c r="BM321" s="26" t="s">
        <v>107</v>
      </c>
      <c r="BN321" s="209">
        <v>0</v>
      </c>
      <c r="BO321" s="26" t="s">
        <v>108</v>
      </c>
      <c r="BP321" s="34" t="s">
        <v>109</v>
      </c>
      <c r="BQ321" s="209">
        <v>4000</v>
      </c>
      <c r="BR321" s="26" t="s">
        <v>108</v>
      </c>
      <c r="BS321" s="34" t="s">
        <v>110</v>
      </c>
      <c r="BT321" s="209">
        <v>5500</v>
      </c>
      <c r="BU321" s="211">
        <v>11000</v>
      </c>
      <c r="BV321" s="212" t="s">
        <v>100</v>
      </c>
      <c r="BW321" s="212" t="s">
        <v>286</v>
      </c>
      <c r="BX321" s="213" t="s">
        <v>100</v>
      </c>
      <c r="BY321" s="213" t="s">
        <v>100</v>
      </c>
      <c r="BZ321" s="45">
        <v>2000</v>
      </c>
    </row>
    <row r="322" spans="3:78" ht="25.5">
      <c r="C322" s="1"/>
      <c r="D322" s="296"/>
      <c r="E322" s="299"/>
      <c r="F322" s="302"/>
      <c r="G322" s="174">
        <v>1565</v>
      </c>
      <c r="H322" s="62">
        <v>1250</v>
      </c>
      <c r="I322" s="62">
        <v>10000</v>
      </c>
      <c r="J322" s="62">
        <v>10000</v>
      </c>
      <c r="K322" s="62">
        <v>50</v>
      </c>
      <c r="L322" s="62">
        <v>91</v>
      </c>
      <c r="M322" s="84" t="s">
        <v>231</v>
      </c>
      <c r="N322" s="197">
        <f t="shared" si="6"/>
        <v>273053.76</v>
      </c>
      <c r="O322" s="62" t="s">
        <v>89</v>
      </c>
      <c r="P322" s="62">
        <v>9</v>
      </c>
      <c r="Q322" s="64" t="s">
        <v>198</v>
      </c>
      <c r="R322" s="64" t="s">
        <v>91</v>
      </c>
      <c r="S322" s="64" t="s">
        <v>199</v>
      </c>
      <c r="T322" s="65" t="s">
        <v>92</v>
      </c>
      <c r="U322" s="65" t="s">
        <v>93</v>
      </c>
      <c r="V322" s="62" t="s">
        <v>99</v>
      </c>
      <c r="W322" s="62">
        <v>31</v>
      </c>
      <c r="X322" s="66" t="s">
        <v>95</v>
      </c>
      <c r="Y322" s="66" t="s">
        <v>96</v>
      </c>
      <c r="Z322" s="87">
        <v>12000</v>
      </c>
      <c r="AA322" s="84" t="s">
        <v>202</v>
      </c>
      <c r="AB322" s="87">
        <v>4160</v>
      </c>
      <c r="AC322" s="183" t="s">
        <v>97</v>
      </c>
      <c r="AD322" s="184" t="s">
        <v>97</v>
      </c>
      <c r="AE322" s="35"/>
      <c r="AF322" s="37">
        <f t="shared" si="7"/>
        <v>257784.95999999999</v>
      </c>
      <c r="AG322" s="29" t="s">
        <v>98</v>
      </c>
      <c r="AH322" s="226">
        <v>25183</v>
      </c>
      <c r="AI322" s="48" t="s">
        <v>231</v>
      </c>
      <c r="AJ322" s="39">
        <v>12000</v>
      </c>
      <c r="AK322" s="39" t="s">
        <v>202</v>
      </c>
      <c r="AL322" s="39">
        <v>4160</v>
      </c>
      <c r="AM322" s="30" t="s">
        <v>99</v>
      </c>
      <c r="AN322" s="40">
        <v>61750</v>
      </c>
      <c r="AO322" s="41" t="s">
        <v>331</v>
      </c>
      <c r="AP322" s="41" t="s">
        <v>332</v>
      </c>
      <c r="AQ322" s="27">
        <v>3000</v>
      </c>
      <c r="AR322" s="27" t="s">
        <v>94</v>
      </c>
      <c r="AS322" s="27">
        <v>900</v>
      </c>
      <c r="AT322" s="29">
        <v>41</v>
      </c>
      <c r="AU322" s="29" t="s">
        <v>100</v>
      </c>
      <c r="AV322" s="31">
        <v>42</v>
      </c>
      <c r="AW322" s="31" t="s">
        <v>100</v>
      </c>
      <c r="AX322" s="209"/>
      <c r="AY322" s="285"/>
      <c r="AZ322" s="285"/>
      <c r="BA322" s="286"/>
      <c r="BB322" s="286"/>
      <c r="BC322" s="44" t="s">
        <v>204</v>
      </c>
      <c r="BD322" s="33" t="s">
        <v>103</v>
      </c>
      <c r="BE322" s="271" t="s">
        <v>104</v>
      </c>
      <c r="BF322" s="271" t="s">
        <v>105</v>
      </c>
      <c r="BG322" s="269">
        <v>0</v>
      </c>
      <c r="BH322" s="42">
        <v>24000</v>
      </c>
      <c r="BI322" s="47" t="s">
        <v>100</v>
      </c>
      <c r="BJ322" s="32" t="s">
        <v>101</v>
      </c>
      <c r="BK322" s="32" t="s">
        <v>100</v>
      </c>
      <c r="BL322" s="26" t="s">
        <v>106</v>
      </c>
      <c r="BM322" s="26" t="s">
        <v>107</v>
      </c>
      <c r="BN322" s="209">
        <v>0</v>
      </c>
      <c r="BO322" s="26" t="s">
        <v>108</v>
      </c>
      <c r="BP322" s="34" t="s">
        <v>109</v>
      </c>
      <c r="BQ322" s="209">
        <v>4000</v>
      </c>
      <c r="BR322" s="26" t="s">
        <v>108</v>
      </c>
      <c r="BS322" s="34" t="s">
        <v>110</v>
      </c>
      <c r="BT322" s="209">
        <v>5500</v>
      </c>
      <c r="BU322" s="211">
        <v>11000</v>
      </c>
      <c r="BV322" s="212" t="s">
        <v>100</v>
      </c>
      <c r="BW322" s="212" t="s">
        <v>286</v>
      </c>
      <c r="BX322" s="213" t="s">
        <v>100</v>
      </c>
      <c r="BY322" s="213" t="s">
        <v>100</v>
      </c>
      <c r="BZ322" s="45">
        <v>2000</v>
      </c>
    </row>
    <row r="323" spans="3:78" ht="26.25" thickBot="1">
      <c r="C323" s="1"/>
      <c r="D323" s="296"/>
      <c r="E323" s="299"/>
      <c r="F323" s="302"/>
      <c r="G323" s="175">
        <v>1750</v>
      </c>
      <c r="H323" s="77">
        <v>1400</v>
      </c>
      <c r="I323" s="77">
        <v>10000</v>
      </c>
      <c r="J323" s="77">
        <v>10000</v>
      </c>
      <c r="K323" s="77">
        <v>50</v>
      </c>
      <c r="L323" s="77">
        <v>98</v>
      </c>
      <c r="M323" s="85" t="s">
        <v>231</v>
      </c>
      <c r="N323" s="198">
        <f t="shared" si="6"/>
        <v>299961.59999999998</v>
      </c>
      <c r="O323" s="77" t="s">
        <v>89</v>
      </c>
      <c r="P323" s="77">
        <v>9</v>
      </c>
      <c r="Q323" s="79" t="s">
        <v>198</v>
      </c>
      <c r="R323" s="79" t="s">
        <v>91</v>
      </c>
      <c r="S323" s="79" t="s">
        <v>199</v>
      </c>
      <c r="T323" s="80" t="s">
        <v>92</v>
      </c>
      <c r="U323" s="80" t="s">
        <v>93</v>
      </c>
      <c r="V323" s="77" t="s">
        <v>99</v>
      </c>
      <c r="W323" s="77">
        <v>31</v>
      </c>
      <c r="X323" s="81" t="s">
        <v>95</v>
      </c>
      <c r="Y323" s="81" t="s">
        <v>96</v>
      </c>
      <c r="Z323" s="88">
        <v>12000</v>
      </c>
      <c r="AA323" s="85" t="s">
        <v>202</v>
      </c>
      <c r="AB323" s="88">
        <v>4160</v>
      </c>
      <c r="AC323" s="176" t="s">
        <v>97</v>
      </c>
      <c r="AD323" s="177" t="s">
        <v>97</v>
      </c>
      <c r="AE323" s="35"/>
      <c r="AF323" s="37">
        <f t="shared" si="7"/>
        <v>283188.47999999998</v>
      </c>
      <c r="AG323" s="29" t="s">
        <v>98</v>
      </c>
      <c r="AH323" s="218">
        <v>27664</v>
      </c>
      <c r="AI323" s="219" t="s">
        <v>231</v>
      </c>
      <c r="AJ323" s="220">
        <v>12000</v>
      </c>
      <c r="AK323" s="220" t="s">
        <v>202</v>
      </c>
      <c r="AL323" s="220">
        <v>4160</v>
      </c>
      <c r="AM323" s="221" t="s">
        <v>99</v>
      </c>
      <c r="AN323" s="40">
        <v>61750</v>
      </c>
      <c r="AO323" s="41" t="s">
        <v>331</v>
      </c>
      <c r="AP323" s="41" t="s">
        <v>332</v>
      </c>
      <c r="AQ323" s="27">
        <v>3000</v>
      </c>
      <c r="AR323" s="27" t="s">
        <v>94</v>
      </c>
      <c r="AS323" s="27">
        <v>900</v>
      </c>
      <c r="AT323" s="29">
        <v>41</v>
      </c>
      <c r="AU323" s="29" t="s">
        <v>100</v>
      </c>
      <c r="AV323" s="31">
        <v>42</v>
      </c>
      <c r="AW323" s="31" t="s">
        <v>100</v>
      </c>
      <c r="AX323" s="209"/>
      <c r="AY323" s="285"/>
      <c r="AZ323" s="285"/>
      <c r="BA323" s="286"/>
      <c r="BB323" s="286"/>
      <c r="BC323" s="44" t="s">
        <v>204</v>
      </c>
      <c r="BD323" s="33" t="s">
        <v>103</v>
      </c>
      <c r="BE323" s="271" t="s">
        <v>104</v>
      </c>
      <c r="BF323" s="271" t="s">
        <v>105</v>
      </c>
      <c r="BG323" s="269">
        <v>0</v>
      </c>
      <c r="BH323" s="42">
        <v>27000</v>
      </c>
      <c r="BI323" s="47" t="s">
        <v>100</v>
      </c>
      <c r="BJ323" s="32" t="s">
        <v>101</v>
      </c>
      <c r="BK323" s="32" t="s">
        <v>100</v>
      </c>
      <c r="BL323" s="26" t="s">
        <v>106</v>
      </c>
      <c r="BM323" s="26" t="s">
        <v>107</v>
      </c>
      <c r="BN323" s="209">
        <v>0</v>
      </c>
      <c r="BO323" s="26" t="s">
        <v>108</v>
      </c>
      <c r="BP323" s="34" t="s">
        <v>109</v>
      </c>
      <c r="BQ323" s="209">
        <v>4000</v>
      </c>
      <c r="BR323" s="26" t="s">
        <v>108</v>
      </c>
      <c r="BS323" s="34" t="s">
        <v>110</v>
      </c>
      <c r="BT323" s="209">
        <v>5500</v>
      </c>
      <c r="BU323" s="211">
        <v>11000</v>
      </c>
      <c r="BV323" s="212" t="s">
        <v>100</v>
      </c>
      <c r="BW323" s="212" t="s">
        <v>286</v>
      </c>
      <c r="BX323" s="213" t="s">
        <v>100</v>
      </c>
      <c r="BY323" s="213" t="s">
        <v>100</v>
      </c>
      <c r="BZ323" s="45">
        <v>2000</v>
      </c>
    </row>
    <row r="324" spans="3:78" ht="25.5">
      <c r="C324" s="1"/>
      <c r="D324" s="296"/>
      <c r="E324" s="299"/>
      <c r="F324" s="302"/>
      <c r="G324" s="178">
        <v>2000</v>
      </c>
      <c r="H324" s="68">
        <v>1600</v>
      </c>
      <c r="I324" s="68">
        <v>10000</v>
      </c>
      <c r="J324" s="68">
        <v>10000</v>
      </c>
      <c r="K324" s="68">
        <v>50</v>
      </c>
      <c r="L324" s="68">
        <v>115</v>
      </c>
      <c r="M324" s="103" t="s">
        <v>232</v>
      </c>
      <c r="N324" s="196">
        <f t="shared" si="6"/>
        <v>315776.64000000001</v>
      </c>
      <c r="O324" s="68" t="s">
        <v>89</v>
      </c>
      <c r="P324" s="68">
        <v>9</v>
      </c>
      <c r="Q324" s="70" t="s">
        <v>198</v>
      </c>
      <c r="R324" s="70" t="s">
        <v>91</v>
      </c>
      <c r="S324" s="70" t="s">
        <v>199</v>
      </c>
      <c r="T324" s="71" t="s">
        <v>92</v>
      </c>
      <c r="U324" s="71" t="s">
        <v>93</v>
      </c>
      <c r="V324" s="68" t="s">
        <v>99</v>
      </c>
      <c r="W324" s="68">
        <v>31</v>
      </c>
      <c r="X324" s="72" t="s">
        <v>95</v>
      </c>
      <c r="Y324" s="72" t="s">
        <v>96</v>
      </c>
      <c r="Z324" s="104">
        <v>18000</v>
      </c>
      <c r="AA324" s="103" t="s">
        <v>203</v>
      </c>
      <c r="AB324" s="104">
        <v>4360</v>
      </c>
      <c r="AC324" s="179" t="s">
        <v>97</v>
      </c>
      <c r="AD324" s="180" t="s">
        <v>97</v>
      </c>
      <c r="AE324" s="35"/>
      <c r="AF324" s="37">
        <f t="shared" si="7"/>
        <v>298119.36</v>
      </c>
      <c r="AG324" s="29" t="s">
        <v>98</v>
      </c>
      <c r="AH324" s="222">
        <v>29123</v>
      </c>
      <c r="AI324" s="223" t="s">
        <v>232</v>
      </c>
      <c r="AJ324" s="224">
        <v>18000</v>
      </c>
      <c r="AK324" s="224" t="s">
        <v>203</v>
      </c>
      <c r="AL324" s="224">
        <v>4360</v>
      </c>
      <c r="AM324" s="225" t="s">
        <v>99</v>
      </c>
      <c r="AN324" s="40">
        <v>68400</v>
      </c>
      <c r="AO324" s="41" t="s">
        <v>331</v>
      </c>
      <c r="AP324" s="41" t="s">
        <v>332</v>
      </c>
      <c r="AQ324" s="27">
        <v>3000</v>
      </c>
      <c r="AR324" s="27" t="s">
        <v>94</v>
      </c>
      <c r="AS324" s="27">
        <v>900</v>
      </c>
      <c r="AT324" s="29">
        <v>41</v>
      </c>
      <c r="AU324" s="29" t="s">
        <v>100</v>
      </c>
      <c r="AV324" s="31">
        <v>42</v>
      </c>
      <c r="AW324" s="31" t="s">
        <v>100</v>
      </c>
      <c r="AX324" s="209"/>
      <c r="AY324" s="285"/>
      <c r="AZ324" s="285"/>
      <c r="BA324" s="286"/>
      <c r="BB324" s="286"/>
      <c r="BC324" s="44" t="s">
        <v>204</v>
      </c>
      <c r="BD324" s="33" t="s">
        <v>103</v>
      </c>
      <c r="BE324" s="271" t="s">
        <v>104</v>
      </c>
      <c r="BF324" s="271" t="s">
        <v>105</v>
      </c>
      <c r="BG324" s="269">
        <v>0</v>
      </c>
      <c r="BH324" s="42">
        <v>27000</v>
      </c>
      <c r="BI324" s="47" t="s">
        <v>100</v>
      </c>
      <c r="BJ324" s="32" t="s">
        <v>101</v>
      </c>
      <c r="BK324" s="32" t="s">
        <v>100</v>
      </c>
      <c r="BL324" s="26" t="s">
        <v>106</v>
      </c>
      <c r="BM324" s="26" t="s">
        <v>107</v>
      </c>
      <c r="BN324" s="209">
        <v>0</v>
      </c>
      <c r="BO324" s="26" t="s">
        <v>108</v>
      </c>
      <c r="BP324" s="34" t="s">
        <v>109</v>
      </c>
      <c r="BQ324" s="209">
        <v>4000</v>
      </c>
      <c r="BR324" s="26" t="s">
        <v>108</v>
      </c>
      <c r="BS324" s="34" t="s">
        <v>110</v>
      </c>
      <c r="BT324" s="209">
        <v>5500</v>
      </c>
      <c r="BU324" s="211">
        <v>11000</v>
      </c>
      <c r="BV324" s="212" t="s">
        <v>100</v>
      </c>
      <c r="BW324" s="212" t="s">
        <v>286</v>
      </c>
      <c r="BX324" s="213" t="s">
        <v>100</v>
      </c>
      <c r="BY324" s="213" t="s">
        <v>100</v>
      </c>
      <c r="BZ324" s="45">
        <v>2000</v>
      </c>
    </row>
    <row r="325" spans="3:78" ht="25.5">
      <c r="C325" s="1"/>
      <c r="D325" s="296"/>
      <c r="E325" s="299"/>
      <c r="F325" s="302"/>
      <c r="G325" s="174">
        <v>2250</v>
      </c>
      <c r="H325" s="62">
        <v>1800</v>
      </c>
      <c r="I325" s="62">
        <v>10000</v>
      </c>
      <c r="J325" s="62">
        <v>10000</v>
      </c>
      <c r="K325" s="62">
        <v>50</v>
      </c>
      <c r="L325" s="62">
        <v>130</v>
      </c>
      <c r="M325" s="101" t="s">
        <v>232</v>
      </c>
      <c r="N325" s="197">
        <f t="shared" si="6"/>
        <v>345829.44</v>
      </c>
      <c r="O325" s="62" t="s">
        <v>89</v>
      </c>
      <c r="P325" s="62">
        <v>9</v>
      </c>
      <c r="Q325" s="64" t="s">
        <v>198</v>
      </c>
      <c r="R325" s="64" t="s">
        <v>91</v>
      </c>
      <c r="S325" s="64" t="s">
        <v>199</v>
      </c>
      <c r="T325" s="65" t="s">
        <v>92</v>
      </c>
      <c r="U325" s="65" t="s">
        <v>93</v>
      </c>
      <c r="V325" s="62" t="s">
        <v>99</v>
      </c>
      <c r="W325" s="62">
        <v>31</v>
      </c>
      <c r="X325" s="66" t="s">
        <v>95</v>
      </c>
      <c r="Y325" s="66" t="s">
        <v>96</v>
      </c>
      <c r="Z325" s="102">
        <v>18000</v>
      </c>
      <c r="AA325" s="101" t="s">
        <v>203</v>
      </c>
      <c r="AB325" s="102">
        <v>4360</v>
      </c>
      <c r="AC325" s="183" t="s">
        <v>97</v>
      </c>
      <c r="AD325" s="184" t="s">
        <v>97</v>
      </c>
      <c r="AE325" s="35"/>
      <c r="AF325" s="37">
        <f t="shared" si="7"/>
        <v>326491.2</v>
      </c>
      <c r="AG325" s="29" t="s">
        <v>98</v>
      </c>
      <c r="AH325" s="226">
        <v>31894</v>
      </c>
      <c r="AI325" s="48" t="s">
        <v>232</v>
      </c>
      <c r="AJ325" s="39">
        <v>18000</v>
      </c>
      <c r="AK325" s="39" t="s">
        <v>203</v>
      </c>
      <c r="AL325" s="39">
        <v>4360</v>
      </c>
      <c r="AM325" s="30" t="s">
        <v>99</v>
      </c>
      <c r="AN325" s="40">
        <v>68400</v>
      </c>
      <c r="AO325" s="41" t="s">
        <v>331</v>
      </c>
      <c r="AP325" s="41" t="s">
        <v>332</v>
      </c>
      <c r="AQ325" s="27">
        <v>3000</v>
      </c>
      <c r="AR325" s="27" t="s">
        <v>94</v>
      </c>
      <c r="AS325" s="27">
        <v>900</v>
      </c>
      <c r="AT325" s="29">
        <v>41</v>
      </c>
      <c r="AU325" s="29" t="s">
        <v>100</v>
      </c>
      <c r="AV325" s="31">
        <v>42</v>
      </c>
      <c r="AW325" s="31" t="s">
        <v>100</v>
      </c>
      <c r="AX325" s="209"/>
      <c r="AY325" s="285"/>
      <c r="AZ325" s="285"/>
      <c r="BA325" s="286"/>
      <c r="BB325" s="286"/>
      <c r="BC325" s="44" t="s">
        <v>204</v>
      </c>
      <c r="BD325" s="33" t="s">
        <v>103</v>
      </c>
      <c r="BE325" s="271" t="s">
        <v>104</v>
      </c>
      <c r="BF325" s="271" t="s">
        <v>105</v>
      </c>
      <c r="BG325" s="269">
        <v>0</v>
      </c>
      <c r="BH325" s="42">
        <v>27000</v>
      </c>
      <c r="BI325" s="47" t="s">
        <v>100</v>
      </c>
      <c r="BJ325" s="32" t="s">
        <v>101</v>
      </c>
      <c r="BK325" s="32" t="s">
        <v>100</v>
      </c>
      <c r="BL325" s="26" t="s">
        <v>106</v>
      </c>
      <c r="BM325" s="26" t="s">
        <v>107</v>
      </c>
      <c r="BN325" s="209">
        <v>0</v>
      </c>
      <c r="BO325" s="26" t="s">
        <v>108</v>
      </c>
      <c r="BP325" s="34" t="s">
        <v>109</v>
      </c>
      <c r="BQ325" s="209">
        <v>4000</v>
      </c>
      <c r="BR325" s="26" t="s">
        <v>108</v>
      </c>
      <c r="BS325" s="34" t="s">
        <v>110</v>
      </c>
      <c r="BT325" s="209">
        <v>5500</v>
      </c>
      <c r="BU325" s="211">
        <v>11000</v>
      </c>
      <c r="BV325" s="212" t="s">
        <v>100</v>
      </c>
      <c r="BW325" s="212" t="s">
        <v>286</v>
      </c>
      <c r="BX325" s="213" t="s">
        <v>100</v>
      </c>
      <c r="BY325" s="213" t="s">
        <v>100</v>
      </c>
      <c r="BZ325" s="45">
        <v>2000</v>
      </c>
    </row>
    <row r="326" spans="3:78" ht="26.25" thickBot="1">
      <c r="C326" s="1"/>
      <c r="D326" s="296"/>
      <c r="E326" s="299"/>
      <c r="F326" s="302"/>
      <c r="G326" s="175">
        <v>2500</v>
      </c>
      <c r="H326" s="77">
        <v>2000</v>
      </c>
      <c r="I326" s="77">
        <v>10000</v>
      </c>
      <c r="J326" s="77">
        <v>10000</v>
      </c>
      <c r="K326" s="77">
        <v>50</v>
      </c>
      <c r="L326" s="77">
        <v>145</v>
      </c>
      <c r="M326" s="136" t="s">
        <v>232</v>
      </c>
      <c r="N326" s="198">
        <f t="shared" si="6"/>
        <v>357567.36</v>
      </c>
      <c r="O326" s="77" t="s">
        <v>89</v>
      </c>
      <c r="P326" s="77">
        <v>9</v>
      </c>
      <c r="Q326" s="79" t="s">
        <v>198</v>
      </c>
      <c r="R326" s="79" t="s">
        <v>91</v>
      </c>
      <c r="S326" s="79" t="s">
        <v>199</v>
      </c>
      <c r="T326" s="80" t="s">
        <v>92</v>
      </c>
      <c r="U326" s="80" t="s">
        <v>93</v>
      </c>
      <c r="V326" s="77" t="s">
        <v>99</v>
      </c>
      <c r="W326" s="77">
        <v>31</v>
      </c>
      <c r="X326" s="81" t="s">
        <v>95</v>
      </c>
      <c r="Y326" s="81" t="s">
        <v>96</v>
      </c>
      <c r="Z326" s="170">
        <v>18000</v>
      </c>
      <c r="AA326" s="136" t="s">
        <v>203</v>
      </c>
      <c r="AB326" s="170">
        <v>4360</v>
      </c>
      <c r="AC326" s="176" t="s">
        <v>97</v>
      </c>
      <c r="AD326" s="177" t="s">
        <v>97</v>
      </c>
      <c r="AE326" s="35"/>
      <c r="AF326" s="37">
        <f t="shared" si="7"/>
        <v>337572.48</v>
      </c>
      <c r="AG326" s="29" t="s">
        <v>98</v>
      </c>
      <c r="AH326" s="218">
        <v>32977</v>
      </c>
      <c r="AI326" s="219" t="s">
        <v>232</v>
      </c>
      <c r="AJ326" s="220">
        <v>18000</v>
      </c>
      <c r="AK326" s="220" t="s">
        <v>203</v>
      </c>
      <c r="AL326" s="220">
        <v>4360</v>
      </c>
      <c r="AM326" s="221" t="s">
        <v>99</v>
      </c>
      <c r="AN326" s="235">
        <v>68400</v>
      </c>
      <c r="AO326" s="236" t="s">
        <v>331</v>
      </c>
      <c r="AP326" s="236" t="s">
        <v>332</v>
      </c>
      <c r="AQ326" s="237">
        <v>3000</v>
      </c>
      <c r="AR326" s="237" t="s">
        <v>94</v>
      </c>
      <c r="AS326" s="237">
        <v>900</v>
      </c>
      <c r="AT326" s="29">
        <v>41</v>
      </c>
      <c r="AU326" s="29" t="s">
        <v>100</v>
      </c>
      <c r="AV326" s="31">
        <v>42</v>
      </c>
      <c r="AW326" s="31" t="s">
        <v>100</v>
      </c>
      <c r="AX326" s="209"/>
      <c r="AY326" s="285"/>
      <c r="AZ326" s="285"/>
      <c r="BA326" s="286"/>
      <c r="BB326" s="286"/>
      <c r="BC326" s="44" t="s">
        <v>204</v>
      </c>
      <c r="BD326" s="33" t="s">
        <v>103</v>
      </c>
      <c r="BE326" s="271" t="s">
        <v>104</v>
      </c>
      <c r="BF326" s="271" t="s">
        <v>105</v>
      </c>
      <c r="BG326" s="269">
        <v>0</v>
      </c>
      <c r="BH326" s="42">
        <v>27000</v>
      </c>
      <c r="BI326" s="47" t="s">
        <v>100</v>
      </c>
      <c r="BJ326" s="32" t="s">
        <v>101</v>
      </c>
      <c r="BK326" s="32" t="s">
        <v>100</v>
      </c>
      <c r="BL326" s="26" t="s">
        <v>106</v>
      </c>
      <c r="BM326" s="26" t="s">
        <v>107</v>
      </c>
      <c r="BN326" s="209">
        <v>0</v>
      </c>
      <c r="BO326" s="26" t="s">
        <v>108</v>
      </c>
      <c r="BP326" s="34" t="s">
        <v>109</v>
      </c>
      <c r="BQ326" s="209">
        <v>4000</v>
      </c>
      <c r="BR326" s="26" t="s">
        <v>108</v>
      </c>
      <c r="BS326" s="34" t="s">
        <v>110</v>
      </c>
      <c r="BT326" s="209">
        <v>5500</v>
      </c>
      <c r="BU326" s="211">
        <v>11000</v>
      </c>
      <c r="BV326" s="212" t="s">
        <v>100</v>
      </c>
      <c r="BW326" s="212" t="s">
        <v>286</v>
      </c>
      <c r="BX326" s="213" t="s">
        <v>100</v>
      </c>
      <c r="BY326" s="213" t="s">
        <v>100</v>
      </c>
      <c r="BZ326" s="45">
        <v>2000</v>
      </c>
    </row>
    <row r="327" spans="3:78" ht="25.5">
      <c r="C327" s="1"/>
      <c r="D327" s="296"/>
      <c r="E327" s="299"/>
      <c r="F327" s="302"/>
      <c r="G327" s="190">
        <v>2750</v>
      </c>
      <c r="H327" s="185">
        <v>2200</v>
      </c>
      <c r="I327" s="185">
        <v>10000</v>
      </c>
      <c r="J327" s="185">
        <v>10000</v>
      </c>
      <c r="K327" s="185">
        <v>50</v>
      </c>
      <c r="L327" s="185">
        <v>160</v>
      </c>
      <c r="M327" s="191" t="s">
        <v>233</v>
      </c>
      <c r="N327" s="199">
        <f t="shared" si="6"/>
        <v>418585.92</v>
      </c>
      <c r="O327" s="185" t="s">
        <v>89</v>
      </c>
      <c r="P327" s="185">
        <v>9</v>
      </c>
      <c r="Q327" s="187" t="s">
        <v>198</v>
      </c>
      <c r="R327" s="187" t="s">
        <v>91</v>
      </c>
      <c r="S327" s="187" t="s">
        <v>199</v>
      </c>
      <c r="T327" s="188" t="s">
        <v>92</v>
      </c>
      <c r="U327" s="188" t="s">
        <v>93</v>
      </c>
      <c r="V327" s="185" t="s">
        <v>99</v>
      </c>
      <c r="W327" s="185">
        <v>31</v>
      </c>
      <c r="X327" s="189" t="s">
        <v>95</v>
      </c>
      <c r="Y327" s="189" t="s">
        <v>96</v>
      </c>
      <c r="Z327" s="192">
        <v>27000</v>
      </c>
      <c r="AA327" s="191" t="s">
        <v>203</v>
      </c>
      <c r="AB327" s="192">
        <v>4380</v>
      </c>
      <c r="AC327" s="193" t="s">
        <v>97</v>
      </c>
      <c r="AD327" s="194" t="s">
        <v>97</v>
      </c>
      <c r="AE327" s="35"/>
      <c r="AF327" s="37">
        <f t="shared" si="7"/>
        <v>395179.2</v>
      </c>
      <c r="AG327" s="29" t="s">
        <v>98</v>
      </c>
      <c r="AH327" s="222">
        <v>38604</v>
      </c>
      <c r="AI327" s="223" t="s">
        <v>233</v>
      </c>
      <c r="AJ327" s="224">
        <v>27000</v>
      </c>
      <c r="AK327" s="224" t="s">
        <v>203</v>
      </c>
      <c r="AL327" s="224">
        <v>4380</v>
      </c>
      <c r="AM327" s="225" t="s">
        <v>99</v>
      </c>
      <c r="AN327" s="232">
        <v>68400</v>
      </c>
      <c r="AO327" s="233" t="s">
        <v>304</v>
      </c>
      <c r="AP327" s="233" t="s">
        <v>307</v>
      </c>
      <c r="AQ327" s="233">
        <v>3000</v>
      </c>
      <c r="AR327" s="233" t="s">
        <v>94</v>
      </c>
      <c r="AS327" s="233">
        <v>1500</v>
      </c>
      <c r="AT327" s="29">
        <v>41</v>
      </c>
      <c r="AU327" s="29" t="s">
        <v>100</v>
      </c>
      <c r="AV327" s="31">
        <v>42</v>
      </c>
      <c r="AW327" s="31" t="s">
        <v>100</v>
      </c>
      <c r="AX327" s="209"/>
      <c r="AY327" s="285"/>
      <c r="AZ327" s="285"/>
      <c r="BA327" s="286"/>
      <c r="BB327" s="286"/>
      <c r="BC327" s="44" t="s">
        <v>204</v>
      </c>
      <c r="BD327" s="33" t="s">
        <v>103</v>
      </c>
      <c r="BE327" s="271" t="s">
        <v>104</v>
      </c>
      <c r="BF327" s="271" t="s">
        <v>105</v>
      </c>
      <c r="BG327" s="269">
        <v>0</v>
      </c>
      <c r="BH327" s="42">
        <v>27000</v>
      </c>
      <c r="BI327" s="47" t="s">
        <v>100</v>
      </c>
      <c r="BJ327" s="32" t="s">
        <v>101</v>
      </c>
      <c r="BK327" s="32" t="s">
        <v>100</v>
      </c>
      <c r="BL327" s="26" t="s">
        <v>106</v>
      </c>
      <c r="BM327" s="26" t="s">
        <v>107</v>
      </c>
      <c r="BN327" s="209">
        <v>0</v>
      </c>
      <c r="BO327" s="26" t="s">
        <v>108</v>
      </c>
      <c r="BP327" s="34" t="s">
        <v>109</v>
      </c>
      <c r="BQ327" s="209">
        <v>4000</v>
      </c>
      <c r="BR327" s="26" t="s">
        <v>108</v>
      </c>
      <c r="BS327" s="34" t="s">
        <v>110</v>
      </c>
      <c r="BT327" s="209">
        <v>5500</v>
      </c>
      <c r="BU327" s="211">
        <v>11000</v>
      </c>
      <c r="BV327" s="212" t="s">
        <v>100</v>
      </c>
      <c r="BW327" s="212" t="s">
        <v>286</v>
      </c>
      <c r="BX327" s="213" t="s">
        <v>100</v>
      </c>
      <c r="BY327" s="213" t="s">
        <v>100</v>
      </c>
      <c r="BZ327" s="45">
        <v>2000</v>
      </c>
    </row>
    <row r="328" spans="3:78" ht="26.25" thickBot="1">
      <c r="C328" s="1"/>
      <c r="D328" s="297"/>
      <c r="E328" s="300"/>
      <c r="F328" s="303"/>
      <c r="G328" s="175">
        <v>3000</v>
      </c>
      <c r="H328" s="77">
        <v>2400</v>
      </c>
      <c r="I328" s="77">
        <v>10000</v>
      </c>
      <c r="J328" s="77">
        <v>10000</v>
      </c>
      <c r="K328" s="77">
        <v>50</v>
      </c>
      <c r="L328" s="77">
        <v>173</v>
      </c>
      <c r="M328" s="85" t="s">
        <v>233</v>
      </c>
      <c r="N328" s="198">
        <f t="shared" si="6"/>
        <v>426847.68</v>
      </c>
      <c r="O328" s="77" t="s">
        <v>89</v>
      </c>
      <c r="P328" s="77">
        <v>9</v>
      </c>
      <c r="Q328" s="79" t="s">
        <v>198</v>
      </c>
      <c r="R328" s="79" t="s">
        <v>91</v>
      </c>
      <c r="S328" s="79" t="s">
        <v>199</v>
      </c>
      <c r="T328" s="80" t="s">
        <v>92</v>
      </c>
      <c r="U328" s="80" t="s">
        <v>93</v>
      </c>
      <c r="V328" s="77" t="s">
        <v>99</v>
      </c>
      <c r="W328" s="77">
        <v>31</v>
      </c>
      <c r="X328" s="81" t="s">
        <v>95</v>
      </c>
      <c r="Y328" s="81" t="s">
        <v>96</v>
      </c>
      <c r="Z328" s="88">
        <v>27000</v>
      </c>
      <c r="AA328" s="85" t="s">
        <v>203</v>
      </c>
      <c r="AB328" s="88">
        <v>4380</v>
      </c>
      <c r="AC328" s="176" t="s">
        <v>97</v>
      </c>
      <c r="AD328" s="177" t="s">
        <v>97</v>
      </c>
      <c r="AE328" s="35"/>
      <c r="AF328" s="37">
        <f t="shared" si="7"/>
        <v>402979.2</v>
      </c>
      <c r="AG328" s="29" t="s">
        <v>98</v>
      </c>
      <c r="AH328" s="218">
        <v>39366</v>
      </c>
      <c r="AI328" s="219" t="s">
        <v>233</v>
      </c>
      <c r="AJ328" s="220">
        <v>27000</v>
      </c>
      <c r="AK328" s="220" t="s">
        <v>203</v>
      </c>
      <c r="AL328" s="220">
        <v>4380</v>
      </c>
      <c r="AM328" s="221" t="s">
        <v>99</v>
      </c>
      <c r="AN328" s="235">
        <v>68400</v>
      </c>
      <c r="AO328" s="236" t="s">
        <v>304</v>
      </c>
      <c r="AP328" s="236" t="s">
        <v>307</v>
      </c>
      <c r="AQ328" s="236">
        <v>3000</v>
      </c>
      <c r="AR328" s="236" t="s">
        <v>94</v>
      </c>
      <c r="AS328" s="236">
        <v>1500</v>
      </c>
      <c r="AT328" s="29">
        <v>41</v>
      </c>
      <c r="AU328" s="29" t="s">
        <v>100</v>
      </c>
      <c r="AV328" s="31">
        <v>42</v>
      </c>
      <c r="AW328" s="31" t="s">
        <v>100</v>
      </c>
      <c r="AX328" s="209"/>
      <c r="AY328" s="285"/>
      <c r="AZ328" s="285"/>
      <c r="BA328" s="286"/>
      <c r="BB328" s="286"/>
      <c r="BC328" s="44" t="s">
        <v>204</v>
      </c>
      <c r="BD328" s="33" t="s">
        <v>103</v>
      </c>
      <c r="BE328" s="271" t="s">
        <v>104</v>
      </c>
      <c r="BF328" s="271" t="s">
        <v>105</v>
      </c>
      <c r="BG328" s="269">
        <v>0</v>
      </c>
      <c r="BH328" s="42">
        <v>27000</v>
      </c>
      <c r="BI328" s="47" t="s">
        <v>100</v>
      </c>
      <c r="BJ328" s="32" t="s">
        <v>101</v>
      </c>
      <c r="BK328" s="32" t="s">
        <v>100</v>
      </c>
      <c r="BL328" s="26" t="s">
        <v>106</v>
      </c>
      <c r="BM328" s="26" t="s">
        <v>107</v>
      </c>
      <c r="BN328" s="209">
        <v>0</v>
      </c>
      <c r="BO328" s="26" t="s">
        <v>108</v>
      </c>
      <c r="BP328" s="34" t="s">
        <v>109</v>
      </c>
      <c r="BQ328" s="209">
        <v>4000</v>
      </c>
      <c r="BR328" s="26" t="s">
        <v>108</v>
      </c>
      <c r="BS328" s="34" t="s">
        <v>110</v>
      </c>
      <c r="BT328" s="209">
        <v>5500</v>
      </c>
      <c r="BU328" s="211">
        <v>11000</v>
      </c>
      <c r="BV328" s="212" t="s">
        <v>100</v>
      </c>
      <c r="BW328" s="212" t="s">
        <v>286</v>
      </c>
      <c r="BX328" s="213" t="s">
        <v>100</v>
      </c>
      <c r="BY328" s="213" t="s">
        <v>100</v>
      </c>
      <c r="BZ328" s="45">
        <v>2000</v>
      </c>
    </row>
    <row r="329" spans="3:78" ht="12.75">
      <c r="C329" s="1"/>
      <c r="D329" s="36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36"/>
      <c r="AJ329" s="36"/>
      <c r="AK329" s="1"/>
      <c r="AL329" s="36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Z329" s="36"/>
    </row>
    <row r="330" spans="3:78" ht="12.75">
      <c r="C330" s="1"/>
      <c r="D330" s="36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36"/>
      <c r="AJ330" s="36"/>
      <c r="AK330" s="1"/>
      <c r="AL330" s="36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Z330" s="36"/>
    </row>
    <row r="331" spans="3:78" ht="12.75">
      <c r="C331" s="1"/>
      <c r="D331" s="36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36"/>
      <c r="AJ331" s="36"/>
      <c r="AK331" s="1"/>
      <c r="AL331" s="36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Z331" s="36"/>
    </row>
    <row r="332" spans="3:78" ht="12.75">
      <c r="C332" s="1"/>
      <c r="D332" s="36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36"/>
      <c r="AJ332" s="36"/>
      <c r="AK332" s="1"/>
      <c r="AL332" s="36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Z332" s="36"/>
    </row>
    <row r="333" spans="3:78" ht="12.75">
      <c r="C333" s="1"/>
      <c r="D333" s="36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36"/>
      <c r="AJ333" s="36"/>
      <c r="AK333" s="1"/>
      <c r="AL333" s="36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Z333" s="36"/>
    </row>
    <row r="334" spans="3:78" ht="12.75">
      <c r="C334" s="1"/>
      <c r="D334" s="36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36"/>
      <c r="AJ334" s="36"/>
      <c r="AK334" s="1"/>
      <c r="AL334" s="36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Z334" s="36"/>
    </row>
    <row r="335" spans="3:78" ht="12.75">
      <c r="C335" s="1"/>
      <c r="D335" s="36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36"/>
      <c r="AJ335" s="36"/>
      <c r="AK335" s="1"/>
      <c r="AL335" s="36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Z335" s="36"/>
    </row>
    <row r="336" spans="3:78" ht="12.75">
      <c r="C336" s="1"/>
      <c r="D336" s="36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36"/>
      <c r="AJ336" s="36"/>
      <c r="AK336" s="1"/>
      <c r="AL336" s="36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Z336" s="36"/>
    </row>
    <row r="337" spans="3:78" ht="12.75">
      <c r="C337" s="1"/>
      <c r="D337" s="36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36"/>
      <c r="AJ337" s="36"/>
      <c r="AK337" s="1"/>
      <c r="AL337" s="36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Z337" s="36"/>
    </row>
    <row r="338" spans="3:78" ht="12.75">
      <c r="C338" s="1"/>
      <c r="D338" s="36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36"/>
      <c r="AJ338" s="36"/>
      <c r="AK338" s="1"/>
      <c r="AL338" s="36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Z338" s="36"/>
    </row>
    <row r="339" spans="3:78" ht="12.75">
      <c r="C339" s="1"/>
      <c r="D339" s="36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36"/>
      <c r="AJ339" s="36"/>
      <c r="AK339" s="1"/>
      <c r="AL339" s="36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Z339" s="36"/>
    </row>
    <row r="340" spans="3:78" ht="12.75">
      <c r="C340" s="1"/>
      <c r="D340" s="36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36"/>
      <c r="AJ340" s="36"/>
      <c r="AK340" s="1"/>
      <c r="AL340" s="36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Z340" s="36"/>
    </row>
    <row r="341" spans="3:78" ht="12.75">
      <c r="C341" s="1"/>
      <c r="D341" s="36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36"/>
      <c r="AJ341" s="36"/>
      <c r="AK341" s="1"/>
      <c r="AL341" s="36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Z341" s="36"/>
    </row>
    <row r="342" spans="3:78" ht="12.75">
      <c r="C342" s="1"/>
      <c r="D342" s="36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36"/>
      <c r="AJ342" s="36"/>
      <c r="AK342" s="1"/>
      <c r="AL342" s="36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Z342" s="36"/>
    </row>
    <row r="343" spans="3:78" ht="12.75">
      <c r="C343" s="1"/>
      <c r="D343" s="36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36"/>
      <c r="AJ343" s="36"/>
      <c r="AK343" s="1"/>
      <c r="AL343" s="36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Z343" s="36"/>
    </row>
    <row r="344" spans="3:78" ht="12.75">
      <c r="C344" s="1"/>
      <c r="D344" s="36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36"/>
      <c r="AJ344" s="36"/>
      <c r="AK344" s="1"/>
      <c r="AL344" s="36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Z344" s="36"/>
    </row>
    <row r="345" spans="3:78" ht="12.75">
      <c r="C345" s="1"/>
      <c r="D345" s="36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36"/>
      <c r="AJ345" s="36"/>
      <c r="AK345" s="1"/>
      <c r="AL345" s="36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Z345" s="36"/>
    </row>
    <row r="346" spans="3:78" ht="12.75">
      <c r="C346" s="1"/>
      <c r="D346" s="36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36"/>
      <c r="AJ346" s="36"/>
      <c r="AK346" s="1"/>
      <c r="AL346" s="36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Z346" s="36"/>
    </row>
    <row r="347" spans="3:78" ht="12.75">
      <c r="C347" s="1"/>
      <c r="D347" s="36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36"/>
      <c r="AJ347" s="36"/>
      <c r="AK347" s="1"/>
      <c r="AL347" s="36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Z347" s="36"/>
    </row>
    <row r="348" spans="3:78" ht="12.75">
      <c r="C348" s="1"/>
      <c r="D348" s="36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36"/>
      <c r="AJ348" s="36"/>
      <c r="AK348" s="1"/>
      <c r="AL348" s="36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Z348" s="36"/>
    </row>
    <row r="349" spans="3:78" ht="12.75">
      <c r="C349" s="1"/>
      <c r="D349" s="36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36"/>
      <c r="AJ349" s="36"/>
      <c r="AK349" s="1"/>
      <c r="AL349" s="36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Z349" s="36"/>
    </row>
    <row r="350" spans="3:78" ht="12.75">
      <c r="C350" s="1"/>
      <c r="D350" s="36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36"/>
      <c r="AJ350" s="36"/>
      <c r="AK350" s="1"/>
      <c r="AL350" s="36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Z350" s="36"/>
    </row>
    <row r="351" spans="3:78" ht="12.75">
      <c r="C351" s="1"/>
      <c r="D351" s="36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36"/>
      <c r="AJ351" s="36"/>
      <c r="AK351" s="1"/>
      <c r="AL351" s="36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Z351" s="36"/>
    </row>
    <row r="352" spans="3:78" ht="12.75">
      <c r="C352" s="1"/>
      <c r="D352" s="36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36"/>
      <c r="AJ352" s="36"/>
      <c r="AK352" s="1"/>
      <c r="AL352" s="36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Z352" s="36"/>
    </row>
    <row r="353" spans="3:78" ht="12.75">
      <c r="C353" s="1"/>
      <c r="D353" s="36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36"/>
      <c r="AJ353" s="36"/>
      <c r="AK353" s="1"/>
      <c r="AL353" s="36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Z353" s="36"/>
    </row>
    <row r="354" spans="3:78" ht="12.75">
      <c r="C354" s="1"/>
      <c r="D354" s="36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36"/>
      <c r="AJ354" s="36"/>
      <c r="AK354" s="1"/>
      <c r="AL354" s="36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Z354" s="36"/>
    </row>
    <row r="355" spans="3:78" ht="12.75">
      <c r="C355" s="1"/>
      <c r="D355" s="36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36"/>
      <c r="AJ355" s="36"/>
      <c r="AK355" s="1"/>
      <c r="AL355" s="36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Z355" s="36"/>
    </row>
    <row r="356" spans="3:78" ht="12.75">
      <c r="C356" s="1"/>
      <c r="D356" s="36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36"/>
      <c r="AJ356" s="36"/>
      <c r="AK356" s="1"/>
      <c r="AL356" s="36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Z356" s="36"/>
    </row>
    <row r="357" spans="3:78" ht="12.75">
      <c r="C357" s="1"/>
      <c r="D357" s="36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36"/>
      <c r="AJ357" s="36"/>
      <c r="AK357" s="1"/>
      <c r="AL357" s="36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Z357" s="36"/>
    </row>
    <row r="358" spans="3:78" ht="12.75">
      <c r="C358" s="1"/>
      <c r="D358" s="36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36"/>
      <c r="AJ358" s="36"/>
      <c r="AK358" s="1"/>
      <c r="AL358" s="36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Z358" s="36"/>
    </row>
    <row r="359" spans="3:78" ht="12.75">
      <c r="C359" s="1"/>
      <c r="D359" s="36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36"/>
      <c r="AJ359" s="36"/>
      <c r="AK359" s="1"/>
      <c r="AL359" s="36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Z359" s="36"/>
    </row>
    <row r="360" spans="3:78" ht="12.75">
      <c r="C360" s="1"/>
      <c r="D360" s="36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36"/>
      <c r="AJ360" s="36"/>
      <c r="AK360" s="1"/>
      <c r="AL360" s="36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Z360" s="36"/>
    </row>
    <row r="361" spans="3:78" ht="12.75">
      <c r="C361" s="1"/>
      <c r="D361" s="36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36"/>
      <c r="AJ361" s="36"/>
      <c r="AK361" s="1"/>
      <c r="AL361" s="36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Z361" s="36"/>
    </row>
    <row r="362" spans="3:78" ht="12.75">
      <c r="C362" s="1"/>
      <c r="D362" s="36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36"/>
      <c r="AJ362" s="36"/>
      <c r="AK362" s="1"/>
      <c r="AL362" s="36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Z362" s="36"/>
    </row>
    <row r="363" spans="3:78" ht="12.75">
      <c r="C363" s="1"/>
      <c r="D363" s="36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36"/>
      <c r="AJ363" s="36"/>
      <c r="AK363" s="1"/>
      <c r="AL363" s="36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Z363" s="36"/>
    </row>
    <row r="364" spans="3:78" ht="12.75">
      <c r="C364" s="1"/>
      <c r="D364" s="36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36"/>
      <c r="AJ364" s="36"/>
      <c r="AK364" s="1"/>
      <c r="AL364" s="36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Z364" s="36"/>
    </row>
    <row r="365" spans="3:78" ht="12.75">
      <c r="C365" s="1"/>
      <c r="D365" s="36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36"/>
      <c r="AJ365" s="36"/>
      <c r="AK365" s="1"/>
      <c r="AL365" s="36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Z365" s="36"/>
    </row>
    <row r="366" spans="3:78" ht="12.75">
      <c r="C366" s="1"/>
      <c r="D366" s="36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36"/>
      <c r="AJ366" s="36"/>
      <c r="AK366" s="1"/>
      <c r="AL366" s="36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Z366" s="36"/>
    </row>
    <row r="367" spans="3:78" ht="12.75">
      <c r="C367" s="1"/>
      <c r="D367" s="36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36"/>
      <c r="AJ367" s="36"/>
      <c r="AK367" s="1"/>
      <c r="AL367" s="36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Z367" s="36"/>
    </row>
    <row r="368" spans="3:78" ht="12.75">
      <c r="C368" s="1"/>
      <c r="D368" s="36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36"/>
      <c r="AJ368" s="36"/>
      <c r="AK368" s="1"/>
      <c r="AL368" s="36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Z368" s="36"/>
    </row>
    <row r="369" spans="3:78" ht="12.75">
      <c r="C369" s="1"/>
      <c r="D369" s="36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36"/>
      <c r="AJ369" s="36"/>
      <c r="AK369" s="1"/>
      <c r="AL369" s="36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Z369" s="36"/>
    </row>
    <row r="370" spans="3:78" ht="12.75">
      <c r="C370" s="1"/>
      <c r="D370" s="36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36"/>
      <c r="AJ370" s="36"/>
      <c r="AK370" s="1"/>
      <c r="AL370" s="36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Z370" s="36"/>
    </row>
    <row r="371" spans="3:78" ht="12.75">
      <c r="C371" s="1"/>
      <c r="D371" s="36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36"/>
      <c r="AJ371" s="36"/>
      <c r="AK371" s="1"/>
      <c r="AL371" s="36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Z371" s="36"/>
    </row>
    <row r="372" spans="3:78" ht="12.75">
      <c r="C372" s="1"/>
      <c r="D372" s="36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36"/>
      <c r="AJ372" s="36"/>
      <c r="AK372" s="1"/>
      <c r="AL372" s="36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Z372" s="36"/>
    </row>
    <row r="373" spans="3:78" ht="12.75">
      <c r="C373" s="1"/>
      <c r="D373" s="36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36"/>
      <c r="AJ373" s="36"/>
      <c r="AK373" s="1"/>
      <c r="AL373" s="36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Z373" s="36"/>
    </row>
    <row r="374" spans="3:78" ht="12.75">
      <c r="C374" s="1"/>
      <c r="D374" s="36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36"/>
      <c r="AJ374" s="36"/>
      <c r="AK374" s="1"/>
      <c r="AL374" s="36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Z374" s="36"/>
    </row>
    <row r="375" spans="3:78" ht="12.75">
      <c r="C375" s="1"/>
      <c r="D375" s="36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36"/>
      <c r="AJ375" s="36"/>
      <c r="AK375" s="1"/>
      <c r="AL375" s="36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Z375" s="36"/>
    </row>
    <row r="376" spans="3:78" ht="12.75">
      <c r="C376" s="1"/>
      <c r="D376" s="36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36"/>
      <c r="AJ376" s="36"/>
      <c r="AK376" s="1"/>
      <c r="AL376" s="36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Z376" s="36"/>
    </row>
    <row r="377" spans="3:78" ht="12.75">
      <c r="C377" s="1"/>
      <c r="D377" s="36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36"/>
      <c r="AJ377" s="36"/>
      <c r="AK377" s="1"/>
      <c r="AL377" s="36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Z377" s="36"/>
    </row>
    <row r="378" spans="3:78" ht="12.75">
      <c r="C378" s="1"/>
      <c r="D378" s="36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36"/>
      <c r="AJ378" s="36"/>
      <c r="AK378" s="1"/>
      <c r="AL378" s="36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Z378" s="36"/>
    </row>
    <row r="379" spans="3:78" ht="12.75">
      <c r="C379" s="1"/>
      <c r="D379" s="36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36"/>
      <c r="AJ379" s="36"/>
      <c r="AK379" s="1"/>
      <c r="AL379" s="36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Z379" s="36"/>
    </row>
    <row r="380" spans="3:78" ht="12.75">
      <c r="C380" s="1"/>
      <c r="D380" s="36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36"/>
      <c r="AJ380" s="36"/>
      <c r="AK380" s="1"/>
      <c r="AL380" s="36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Z380" s="36"/>
    </row>
    <row r="381" spans="3:78" ht="12.75">
      <c r="C381" s="1"/>
      <c r="D381" s="36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36"/>
      <c r="AJ381" s="36"/>
      <c r="AK381" s="1"/>
      <c r="AL381" s="36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Z381" s="36"/>
    </row>
    <row r="382" spans="3:78" ht="12.75">
      <c r="C382" s="1"/>
      <c r="D382" s="36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36"/>
      <c r="AJ382" s="36"/>
      <c r="AK382" s="1"/>
      <c r="AL382" s="36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Z382" s="36"/>
    </row>
    <row r="383" spans="3:78" ht="12.75">
      <c r="C383" s="1"/>
      <c r="D383" s="36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36"/>
      <c r="AJ383" s="36"/>
      <c r="AK383" s="1"/>
      <c r="AL383" s="36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Z383" s="36"/>
    </row>
    <row r="384" spans="3:78" ht="12.75">
      <c r="C384" s="1"/>
      <c r="D384" s="36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36"/>
      <c r="AJ384" s="36"/>
      <c r="AK384" s="1"/>
      <c r="AL384" s="36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Z384" s="36"/>
    </row>
    <row r="385" spans="3:78" ht="12.75">
      <c r="C385" s="1"/>
      <c r="D385" s="36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36"/>
      <c r="AJ385" s="36"/>
      <c r="AK385" s="1"/>
      <c r="AL385" s="36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Z385" s="36"/>
    </row>
    <row r="386" spans="3:78" ht="12.75">
      <c r="C386" s="1"/>
      <c r="D386" s="36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36"/>
      <c r="AJ386" s="36"/>
      <c r="AK386" s="1"/>
      <c r="AL386" s="36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Z386" s="36"/>
    </row>
    <row r="387" spans="3:78" ht="12.75">
      <c r="C387" s="1"/>
      <c r="D387" s="36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36"/>
      <c r="AJ387" s="36"/>
      <c r="AK387" s="1"/>
      <c r="AL387" s="36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Z387" s="36"/>
    </row>
    <row r="388" spans="3:78" ht="12.75">
      <c r="C388" s="1"/>
      <c r="D388" s="36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36"/>
      <c r="AJ388" s="36"/>
      <c r="AK388" s="1"/>
      <c r="AL388" s="36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Z388" s="36"/>
    </row>
    <row r="389" spans="3:78" ht="12.75">
      <c r="C389" s="1"/>
      <c r="D389" s="36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36"/>
      <c r="AJ389" s="36"/>
      <c r="AK389" s="1"/>
      <c r="AL389" s="36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Z389" s="36"/>
    </row>
    <row r="390" spans="3:78" ht="12.75">
      <c r="C390" s="1"/>
      <c r="D390" s="36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36"/>
      <c r="AJ390" s="36"/>
      <c r="AK390" s="1"/>
      <c r="AL390" s="36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Z390" s="36"/>
    </row>
    <row r="391" spans="3:78" ht="12.75">
      <c r="C391" s="1"/>
      <c r="D391" s="36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36"/>
      <c r="AJ391" s="36"/>
      <c r="AK391" s="1"/>
      <c r="AL391" s="36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Z391" s="36"/>
    </row>
    <row r="392" spans="3:78" ht="12.75">
      <c r="C392" s="1"/>
      <c r="D392" s="36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36"/>
      <c r="AJ392" s="36"/>
      <c r="AK392" s="1"/>
      <c r="AL392" s="36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Z392" s="36"/>
    </row>
    <row r="393" spans="3:78" ht="12.75">
      <c r="C393" s="1"/>
      <c r="D393" s="36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36"/>
      <c r="AJ393" s="36"/>
      <c r="AK393" s="1"/>
      <c r="AL393" s="36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Z393" s="36"/>
    </row>
    <row r="394" spans="3:78" ht="12.75">
      <c r="C394" s="1"/>
      <c r="D394" s="36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36"/>
      <c r="AJ394" s="36"/>
      <c r="AK394" s="1"/>
      <c r="AL394" s="36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Z394" s="36"/>
    </row>
    <row r="395" spans="3:78" ht="12.75">
      <c r="C395" s="1"/>
      <c r="D395" s="36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36"/>
      <c r="AJ395" s="36"/>
      <c r="AK395" s="1"/>
      <c r="AL395" s="36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Z395" s="36"/>
    </row>
    <row r="396" spans="3:78" ht="12.75">
      <c r="C396" s="1"/>
      <c r="D396" s="36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36"/>
      <c r="AJ396" s="36"/>
      <c r="AK396" s="1"/>
      <c r="AL396" s="36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Z396" s="36"/>
    </row>
    <row r="397" spans="3:78" ht="12.75">
      <c r="C397" s="1"/>
      <c r="D397" s="36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36"/>
      <c r="AJ397" s="36"/>
      <c r="AK397" s="1"/>
      <c r="AL397" s="36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Z397" s="36"/>
    </row>
    <row r="398" spans="3:78" ht="12.75">
      <c r="C398" s="1"/>
      <c r="D398" s="36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36"/>
      <c r="AJ398" s="36"/>
      <c r="AK398" s="1"/>
      <c r="AL398" s="36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Z398" s="36"/>
    </row>
    <row r="399" spans="3:78" ht="12.75">
      <c r="C399" s="1"/>
      <c r="D399" s="36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36"/>
      <c r="AJ399" s="36"/>
      <c r="AK399" s="1"/>
      <c r="AL399" s="36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Z399" s="36"/>
    </row>
    <row r="400" spans="3:78" ht="12.75">
      <c r="C400" s="1"/>
      <c r="D400" s="36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36"/>
      <c r="AJ400" s="36"/>
      <c r="AK400" s="1"/>
      <c r="AL400" s="36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Z400" s="36"/>
    </row>
    <row r="401" spans="3:78" ht="12.75">
      <c r="C401" s="1"/>
      <c r="D401" s="36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36"/>
      <c r="AJ401" s="36"/>
      <c r="AK401" s="1"/>
      <c r="AL401" s="36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Z401" s="36"/>
    </row>
    <row r="402" spans="3:78" ht="12.75">
      <c r="C402" s="1"/>
      <c r="D402" s="36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36"/>
      <c r="AJ402" s="36"/>
      <c r="AK402" s="1"/>
      <c r="AL402" s="36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Z402" s="36"/>
    </row>
    <row r="403" spans="3:78" ht="12.75">
      <c r="C403" s="1"/>
      <c r="D403" s="36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36"/>
      <c r="AJ403" s="36"/>
      <c r="AK403" s="1"/>
      <c r="AL403" s="36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Z403" s="36"/>
    </row>
    <row r="404" spans="3:78" ht="12.75">
      <c r="C404" s="1"/>
      <c r="D404" s="36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36"/>
      <c r="AJ404" s="36"/>
      <c r="AK404" s="1"/>
      <c r="AL404" s="36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Z404" s="36"/>
    </row>
    <row r="405" spans="3:78" ht="12.75">
      <c r="C405" s="1"/>
      <c r="D405" s="36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36"/>
      <c r="AJ405" s="36"/>
      <c r="AK405" s="1"/>
      <c r="AL405" s="36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Z405" s="36"/>
    </row>
    <row r="406" spans="3:78" ht="12.75">
      <c r="C406" s="1"/>
      <c r="D406" s="36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36"/>
      <c r="AJ406" s="36"/>
      <c r="AK406" s="1"/>
      <c r="AL406" s="36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Z406" s="36"/>
    </row>
    <row r="407" spans="3:78" ht="12.75">
      <c r="C407" s="1"/>
      <c r="D407" s="36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36"/>
      <c r="AJ407" s="36"/>
      <c r="AK407" s="1"/>
      <c r="AL407" s="36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Z407" s="36"/>
    </row>
    <row r="408" spans="3:78" ht="12.75">
      <c r="C408" s="1"/>
      <c r="D408" s="36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36"/>
      <c r="AJ408" s="36"/>
      <c r="AK408" s="1"/>
      <c r="AL408" s="36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Z408" s="36"/>
    </row>
    <row r="409" spans="3:78" ht="12.75">
      <c r="C409" s="1"/>
      <c r="D409" s="36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36"/>
      <c r="AJ409" s="36"/>
      <c r="AK409" s="1"/>
      <c r="AL409" s="36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Z409" s="36"/>
    </row>
    <row r="410" spans="3:78" ht="12.75">
      <c r="C410" s="1"/>
      <c r="D410" s="36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36"/>
      <c r="AJ410" s="36"/>
      <c r="AK410" s="1"/>
      <c r="AL410" s="36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Z410" s="36"/>
    </row>
    <row r="411" spans="3:78" ht="12.75">
      <c r="C411" s="1"/>
      <c r="D411" s="36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36"/>
      <c r="AJ411" s="36"/>
      <c r="AK411" s="1"/>
      <c r="AL411" s="36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Z411" s="36"/>
    </row>
    <row r="412" spans="3:78" ht="12.75">
      <c r="C412" s="1"/>
      <c r="D412" s="36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36"/>
      <c r="AJ412" s="36"/>
      <c r="AK412" s="1"/>
      <c r="AL412" s="36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Z412" s="36"/>
    </row>
    <row r="413" spans="3:78" ht="12.75">
      <c r="C413" s="1"/>
      <c r="D413" s="36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36"/>
      <c r="AJ413" s="36"/>
      <c r="AK413" s="1"/>
      <c r="AL413" s="36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Z413" s="36"/>
    </row>
    <row r="414" spans="3:78" ht="12.75">
      <c r="C414" s="1"/>
      <c r="D414" s="36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36"/>
      <c r="AJ414" s="36"/>
      <c r="AK414" s="1"/>
      <c r="AL414" s="36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Z414" s="36"/>
    </row>
    <row r="415" spans="3:78" ht="12.75">
      <c r="C415" s="1"/>
      <c r="D415" s="36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36"/>
      <c r="AJ415" s="36"/>
      <c r="AK415" s="1"/>
      <c r="AL415" s="36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Z415" s="36"/>
    </row>
    <row r="416" spans="3:78" ht="12.75">
      <c r="C416" s="1"/>
      <c r="D416" s="36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36"/>
      <c r="AJ416" s="36"/>
      <c r="AK416" s="1"/>
      <c r="AL416" s="36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Z416" s="36"/>
    </row>
    <row r="417" spans="3:78" ht="12.75">
      <c r="C417" s="1"/>
      <c r="D417" s="36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36"/>
      <c r="AJ417" s="36"/>
      <c r="AK417" s="1"/>
      <c r="AL417" s="36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Z417" s="36"/>
    </row>
    <row r="418" spans="3:78" ht="12.75">
      <c r="C418" s="1"/>
      <c r="D418" s="36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36"/>
      <c r="AJ418" s="36"/>
      <c r="AK418" s="1"/>
      <c r="AL418" s="36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Z418" s="36"/>
    </row>
    <row r="419" spans="3:78" ht="12.75">
      <c r="C419" s="1"/>
      <c r="D419" s="36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36"/>
      <c r="AJ419" s="36"/>
      <c r="AK419" s="1"/>
      <c r="AL419" s="36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Z419" s="36"/>
    </row>
    <row r="420" spans="3:78" ht="12.75">
      <c r="C420" s="1"/>
      <c r="D420" s="36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36"/>
      <c r="AJ420" s="36"/>
      <c r="AK420" s="1"/>
      <c r="AL420" s="36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Z420" s="36"/>
    </row>
    <row r="421" spans="3:78" ht="12.75">
      <c r="C421" s="1"/>
      <c r="D421" s="36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36"/>
      <c r="AJ421" s="36"/>
      <c r="AK421" s="1"/>
      <c r="AL421" s="36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Z421" s="36"/>
    </row>
    <row r="422" spans="3:78" ht="12.75">
      <c r="C422" s="1"/>
      <c r="D422" s="36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36"/>
      <c r="AJ422" s="36"/>
      <c r="AK422" s="1"/>
      <c r="AL422" s="36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Z422" s="36"/>
    </row>
    <row r="423" spans="3:78" ht="12.75">
      <c r="C423" s="1"/>
      <c r="D423" s="36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36"/>
      <c r="AJ423" s="36"/>
      <c r="AK423" s="1"/>
      <c r="AL423" s="36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Z423" s="36"/>
    </row>
    <row r="424" spans="3:78" ht="12.75">
      <c r="C424" s="1"/>
      <c r="D424" s="36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36"/>
      <c r="AJ424" s="36"/>
      <c r="AK424" s="1"/>
      <c r="AL424" s="36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Z424" s="36"/>
    </row>
    <row r="425" spans="3:78" ht="12.75">
      <c r="C425" s="1"/>
      <c r="D425" s="36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36"/>
      <c r="AJ425" s="36"/>
      <c r="AK425" s="1"/>
      <c r="AL425" s="36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Z425" s="36"/>
    </row>
    <row r="426" spans="3:78" ht="12.75">
      <c r="C426" s="1"/>
      <c r="D426" s="36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36"/>
      <c r="AJ426" s="36"/>
      <c r="AK426" s="1"/>
      <c r="AL426" s="36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Z426" s="36"/>
    </row>
    <row r="427" spans="3:78" ht="12.75">
      <c r="C427" s="1"/>
      <c r="D427" s="36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36"/>
      <c r="AJ427" s="36"/>
      <c r="AK427" s="1"/>
      <c r="AL427" s="36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Z427" s="36"/>
    </row>
    <row r="428" spans="3:78" ht="12.75">
      <c r="C428" s="1"/>
      <c r="D428" s="36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36"/>
      <c r="AJ428" s="36"/>
      <c r="AK428" s="1"/>
      <c r="AL428" s="36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Z428" s="36"/>
    </row>
    <row r="429" spans="3:78" ht="12.75">
      <c r="C429" s="1"/>
      <c r="D429" s="36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36"/>
      <c r="AJ429" s="36"/>
      <c r="AK429" s="1"/>
      <c r="AL429" s="36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Z429" s="36"/>
    </row>
    <row r="430" spans="3:78" ht="12.75">
      <c r="C430" s="1"/>
      <c r="D430" s="36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36"/>
      <c r="AJ430" s="36"/>
      <c r="AK430" s="1"/>
      <c r="AL430" s="36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Z430" s="36"/>
    </row>
    <row r="431" spans="3:78" ht="12.75">
      <c r="C431" s="1"/>
      <c r="D431" s="36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36"/>
      <c r="AJ431" s="36"/>
      <c r="AK431" s="1"/>
      <c r="AL431" s="36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Z431" s="36"/>
    </row>
    <row r="432" spans="3:78" ht="12.75">
      <c r="C432" s="1"/>
      <c r="D432" s="36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36"/>
      <c r="AJ432" s="36"/>
      <c r="AK432" s="1"/>
      <c r="AL432" s="36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Z432" s="36"/>
    </row>
    <row r="433" spans="3:78" ht="12.75">
      <c r="C433" s="1"/>
      <c r="D433" s="36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36"/>
      <c r="AJ433" s="36"/>
      <c r="AK433" s="1"/>
      <c r="AL433" s="36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Z433" s="36"/>
    </row>
    <row r="434" spans="3:78" ht="12.75">
      <c r="C434" s="1"/>
      <c r="D434" s="36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36"/>
      <c r="AJ434" s="36"/>
      <c r="AK434" s="1"/>
      <c r="AL434" s="36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Z434" s="36"/>
    </row>
    <row r="435" spans="3:78" ht="12.75">
      <c r="C435" s="1"/>
      <c r="D435" s="36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36"/>
      <c r="AJ435" s="36"/>
      <c r="AK435" s="1"/>
      <c r="AL435" s="36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Z435" s="36"/>
    </row>
    <row r="436" spans="3:78" ht="12.75">
      <c r="C436" s="1"/>
      <c r="D436" s="36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36"/>
      <c r="AJ436" s="36"/>
      <c r="AK436" s="1"/>
      <c r="AL436" s="36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Z436" s="36"/>
    </row>
    <row r="437" spans="3:78" ht="12.75">
      <c r="C437" s="1"/>
      <c r="D437" s="36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36"/>
      <c r="AJ437" s="36"/>
      <c r="AK437" s="1"/>
      <c r="AL437" s="36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Z437" s="36"/>
    </row>
    <row r="438" spans="3:78" ht="12.75">
      <c r="C438" s="1"/>
      <c r="D438" s="36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36"/>
      <c r="AJ438" s="36"/>
      <c r="AK438" s="1"/>
      <c r="AL438" s="36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Z438" s="36"/>
    </row>
    <row r="439" spans="3:78" ht="12.75">
      <c r="C439" s="1"/>
      <c r="D439" s="36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36"/>
      <c r="AJ439" s="36"/>
      <c r="AK439" s="1"/>
      <c r="AL439" s="36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Z439" s="36"/>
    </row>
    <row r="440" spans="3:78" ht="12.75">
      <c r="C440" s="1"/>
      <c r="D440" s="36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36"/>
      <c r="AJ440" s="36"/>
      <c r="AK440" s="1"/>
      <c r="AL440" s="36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Z440" s="36"/>
    </row>
    <row r="441" spans="3:78" ht="12.75">
      <c r="C441" s="1"/>
      <c r="D441" s="36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36"/>
      <c r="AJ441" s="36"/>
      <c r="AK441" s="1"/>
      <c r="AL441" s="36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Z441" s="36"/>
    </row>
    <row r="442" spans="3:78" ht="12.75">
      <c r="C442" s="1"/>
      <c r="D442" s="36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36"/>
      <c r="AJ442" s="36"/>
      <c r="AK442" s="1"/>
      <c r="AL442" s="36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Z442" s="36"/>
    </row>
    <row r="443" spans="3:78" ht="12.75">
      <c r="C443" s="1"/>
      <c r="D443" s="36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36"/>
      <c r="AJ443" s="36"/>
      <c r="AK443" s="1"/>
      <c r="AL443" s="36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Z443" s="36"/>
    </row>
    <row r="444" spans="3:78" ht="12.75">
      <c r="C444" s="1"/>
      <c r="D444" s="36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36"/>
      <c r="AJ444" s="36"/>
      <c r="AK444" s="1"/>
      <c r="AL444" s="36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Z444" s="36"/>
    </row>
    <row r="445" spans="3:78" ht="12.75">
      <c r="C445" s="1"/>
      <c r="D445" s="36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36"/>
      <c r="AJ445" s="36"/>
      <c r="AK445" s="1"/>
      <c r="AL445" s="36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Z445" s="36"/>
    </row>
    <row r="446" spans="3:78" ht="12.75">
      <c r="C446" s="1"/>
      <c r="D446" s="36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36"/>
      <c r="AJ446" s="36"/>
      <c r="AK446" s="1"/>
      <c r="AL446" s="36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Z446" s="36"/>
    </row>
    <row r="447" spans="3:78" ht="12.75">
      <c r="C447" s="1"/>
      <c r="D447" s="36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36"/>
      <c r="AJ447" s="36"/>
      <c r="AK447" s="1"/>
      <c r="AL447" s="36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Z447" s="36"/>
    </row>
    <row r="448" spans="3:78" ht="12.75">
      <c r="C448" s="1"/>
      <c r="D448" s="36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36"/>
      <c r="AJ448" s="36"/>
      <c r="AK448" s="1"/>
      <c r="AL448" s="36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Z448" s="36"/>
    </row>
    <row r="449" spans="3:78" ht="12.75">
      <c r="C449" s="1"/>
      <c r="D449" s="36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36"/>
      <c r="AJ449" s="36"/>
      <c r="AK449" s="1"/>
      <c r="AL449" s="36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Z449" s="36"/>
    </row>
    <row r="450" spans="3:78" ht="12.75">
      <c r="C450" s="1"/>
      <c r="D450" s="36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36"/>
      <c r="AJ450" s="36"/>
      <c r="AK450" s="1"/>
      <c r="AL450" s="36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Z450" s="36"/>
    </row>
    <row r="451" spans="3:78" ht="12.75">
      <c r="C451" s="1"/>
      <c r="D451" s="36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36"/>
      <c r="AJ451" s="36"/>
      <c r="AK451" s="1"/>
      <c r="AL451" s="36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Z451" s="36"/>
    </row>
    <row r="452" spans="3:78" ht="12.75">
      <c r="C452" s="1"/>
      <c r="D452" s="36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36"/>
      <c r="AJ452" s="36"/>
      <c r="AK452" s="1"/>
      <c r="AL452" s="36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Z452" s="36"/>
    </row>
    <row r="453" spans="3:78" ht="12.75">
      <c r="C453" s="1"/>
      <c r="D453" s="36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36"/>
      <c r="AJ453" s="36"/>
      <c r="AK453" s="1"/>
      <c r="AL453" s="36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Z453" s="36"/>
    </row>
    <row r="454" spans="3:78" ht="12.75">
      <c r="C454" s="1"/>
      <c r="D454" s="36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36"/>
      <c r="AJ454" s="36"/>
      <c r="AK454" s="1"/>
      <c r="AL454" s="36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Z454" s="36"/>
    </row>
    <row r="455" spans="3:78" ht="12.75">
      <c r="C455" s="1"/>
      <c r="D455" s="36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36"/>
      <c r="AJ455" s="36"/>
      <c r="AK455" s="1"/>
      <c r="AL455" s="36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Z455" s="36"/>
    </row>
    <row r="456" spans="3:78" ht="12.75">
      <c r="C456" s="1"/>
      <c r="D456" s="36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36"/>
      <c r="AJ456" s="36"/>
      <c r="AK456" s="1"/>
      <c r="AL456" s="36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Z456" s="36"/>
    </row>
    <row r="457" spans="3:78" ht="12.75">
      <c r="C457" s="1"/>
      <c r="D457" s="36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36"/>
      <c r="AJ457" s="36"/>
      <c r="AK457" s="1"/>
      <c r="AL457" s="36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Z457" s="36"/>
    </row>
    <row r="458" spans="3:78" ht="12.75">
      <c r="C458" s="1"/>
      <c r="D458" s="36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36"/>
      <c r="AJ458" s="36"/>
      <c r="AK458" s="1"/>
      <c r="AL458" s="36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Z458" s="36"/>
    </row>
    <row r="459" spans="3:78" ht="12.75">
      <c r="C459" s="1"/>
      <c r="D459" s="36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36"/>
      <c r="AJ459" s="36"/>
      <c r="AK459" s="1"/>
      <c r="AL459" s="36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Z459" s="36"/>
    </row>
    <row r="460" spans="3:78" ht="12.75">
      <c r="C460" s="1"/>
      <c r="D460" s="36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36"/>
      <c r="AJ460" s="36"/>
      <c r="AK460" s="1"/>
      <c r="AL460" s="36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Z460" s="36"/>
    </row>
    <row r="461" spans="3:78" ht="12.75">
      <c r="C461" s="1"/>
      <c r="D461" s="36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36"/>
      <c r="AJ461" s="36"/>
      <c r="AK461" s="1"/>
      <c r="AL461" s="36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Z461" s="36"/>
    </row>
    <row r="462" spans="3:78" ht="12.75">
      <c r="C462" s="1"/>
      <c r="D462" s="36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36"/>
      <c r="AJ462" s="36"/>
      <c r="AK462" s="1"/>
      <c r="AL462" s="36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Z462" s="36"/>
    </row>
    <row r="463" spans="3:78" ht="12.75">
      <c r="C463" s="1"/>
      <c r="D463" s="36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36"/>
      <c r="AJ463" s="36"/>
      <c r="AK463" s="1"/>
      <c r="AL463" s="36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Z463" s="36"/>
    </row>
    <row r="464" spans="3:78" ht="12.75">
      <c r="C464" s="1"/>
      <c r="D464" s="36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36"/>
      <c r="AJ464" s="36"/>
      <c r="AK464" s="1"/>
      <c r="AL464" s="36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Z464" s="36"/>
    </row>
    <row r="465" spans="3:78" ht="12.75">
      <c r="C465" s="1"/>
      <c r="D465" s="36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36"/>
      <c r="AJ465" s="36"/>
      <c r="AK465" s="1"/>
      <c r="AL465" s="36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Z465" s="36"/>
    </row>
    <row r="466" spans="3:78" ht="12.75">
      <c r="C466" s="1"/>
      <c r="D466" s="36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36"/>
      <c r="AJ466" s="36"/>
      <c r="AK466" s="1"/>
      <c r="AL466" s="36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Z466" s="36"/>
    </row>
    <row r="467" spans="3:78" ht="12.75">
      <c r="C467" s="1"/>
      <c r="D467" s="36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36"/>
      <c r="AJ467" s="36"/>
      <c r="AK467" s="1"/>
      <c r="AL467" s="36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Z467" s="36"/>
    </row>
    <row r="468" spans="3:78" ht="12.75">
      <c r="C468" s="1"/>
      <c r="D468" s="36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36"/>
      <c r="AJ468" s="36"/>
      <c r="AK468" s="1"/>
      <c r="AL468" s="36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Z468" s="36"/>
    </row>
    <row r="469" spans="3:78" ht="12.75">
      <c r="C469" s="1"/>
      <c r="D469" s="36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36"/>
      <c r="AJ469" s="36"/>
      <c r="AK469" s="1"/>
      <c r="AL469" s="36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Z469" s="36"/>
    </row>
    <row r="470" spans="3:78" ht="12.75">
      <c r="C470" s="1"/>
      <c r="D470" s="36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36"/>
      <c r="AJ470" s="36"/>
      <c r="AK470" s="1"/>
      <c r="AL470" s="36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Z470" s="36"/>
    </row>
    <row r="471" spans="3:78" ht="12.75">
      <c r="C471" s="1"/>
      <c r="D471" s="36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36"/>
      <c r="AJ471" s="36"/>
      <c r="AK471" s="1"/>
      <c r="AL471" s="36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Z471" s="36"/>
    </row>
    <row r="472" spans="3:78" ht="12.75">
      <c r="C472" s="1"/>
      <c r="D472" s="36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36"/>
      <c r="AJ472" s="36"/>
      <c r="AK472" s="1"/>
      <c r="AL472" s="36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Z472" s="36"/>
    </row>
    <row r="473" spans="3:78" ht="12.75">
      <c r="C473" s="1"/>
      <c r="D473" s="36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36"/>
      <c r="AJ473" s="36"/>
      <c r="AK473" s="1"/>
      <c r="AL473" s="36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Z473" s="36"/>
    </row>
    <row r="474" spans="3:78" ht="12.75">
      <c r="C474" s="1"/>
      <c r="D474" s="36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36"/>
      <c r="AJ474" s="36"/>
      <c r="AK474" s="1"/>
      <c r="AL474" s="36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Z474" s="36"/>
    </row>
    <row r="475" spans="3:78" ht="12.75">
      <c r="C475" s="1"/>
      <c r="D475" s="36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36"/>
      <c r="AJ475" s="36"/>
      <c r="AK475" s="1"/>
      <c r="AL475" s="36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Z475" s="36"/>
    </row>
    <row r="476" spans="3:78" ht="12.75">
      <c r="C476" s="1"/>
      <c r="D476" s="36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36"/>
      <c r="AJ476" s="36"/>
      <c r="AK476" s="1"/>
      <c r="AL476" s="36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Z476" s="36"/>
    </row>
    <row r="477" spans="3:78" ht="12.75">
      <c r="C477" s="1"/>
      <c r="D477" s="36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36"/>
      <c r="AJ477" s="36"/>
      <c r="AK477" s="1"/>
      <c r="AL477" s="36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Z477" s="36"/>
    </row>
    <row r="478" spans="3:78" ht="12.75">
      <c r="C478" s="1"/>
      <c r="D478" s="36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36"/>
      <c r="AJ478" s="36"/>
      <c r="AK478" s="1"/>
      <c r="AL478" s="36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Z478" s="36"/>
    </row>
    <row r="479" spans="3:78" ht="12.75">
      <c r="C479" s="1"/>
      <c r="D479" s="36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36"/>
      <c r="AJ479" s="36"/>
      <c r="AK479" s="1"/>
      <c r="AL479" s="36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Z479" s="36"/>
    </row>
    <row r="480" spans="3:78" ht="12.75">
      <c r="C480" s="1"/>
      <c r="D480" s="36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36"/>
      <c r="AJ480" s="36"/>
      <c r="AK480" s="1"/>
      <c r="AL480" s="36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Z480" s="36"/>
    </row>
    <row r="481" spans="3:78" ht="12.75">
      <c r="C481" s="1"/>
      <c r="D481" s="36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36"/>
      <c r="AJ481" s="36"/>
      <c r="AK481" s="1"/>
      <c r="AL481" s="36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Z481" s="36"/>
    </row>
    <row r="482" spans="3:78" ht="12.75">
      <c r="C482" s="1"/>
      <c r="D482" s="36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36"/>
      <c r="AJ482" s="36"/>
      <c r="AK482" s="1"/>
      <c r="AL482" s="36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Z482" s="36"/>
    </row>
    <row r="483" spans="3:78" ht="12.75">
      <c r="C483" s="1"/>
      <c r="D483" s="36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36"/>
      <c r="AJ483" s="36"/>
      <c r="AK483" s="1"/>
      <c r="AL483" s="36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Z483" s="36"/>
    </row>
    <row r="484" spans="3:78" ht="12.75">
      <c r="C484" s="1"/>
      <c r="D484" s="36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36"/>
      <c r="AJ484" s="36"/>
      <c r="AK484" s="1"/>
      <c r="AL484" s="36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Z484" s="36"/>
    </row>
    <row r="485" spans="3:78" ht="12.75">
      <c r="C485" s="1"/>
      <c r="D485" s="36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36"/>
      <c r="AJ485" s="36"/>
      <c r="AK485" s="1"/>
      <c r="AL485" s="36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Z485" s="36"/>
    </row>
    <row r="486" spans="3:78" ht="12.75">
      <c r="C486" s="1"/>
      <c r="D486" s="36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36"/>
      <c r="AJ486" s="36"/>
      <c r="AK486" s="1"/>
      <c r="AL486" s="36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Z486" s="36"/>
    </row>
    <row r="487" spans="3:78" ht="12.75">
      <c r="C487" s="1"/>
      <c r="D487" s="36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36"/>
      <c r="AJ487" s="36"/>
      <c r="AK487" s="1"/>
      <c r="AL487" s="36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Z487" s="36"/>
    </row>
    <row r="488" spans="3:78" ht="12.75">
      <c r="C488" s="1"/>
      <c r="D488" s="36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36"/>
      <c r="AJ488" s="36"/>
      <c r="AK488" s="1"/>
      <c r="AL488" s="36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Z488" s="36"/>
    </row>
    <row r="489" spans="3:78" ht="12.75">
      <c r="C489" s="1"/>
      <c r="D489" s="36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36"/>
      <c r="AJ489" s="36"/>
      <c r="AK489" s="1"/>
      <c r="AL489" s="36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Z489" s="36"/>
    </row>
    <row r="490" spans="3:78" ht="12.75">
      <c r="C490" s="1"/>
      <c r="D490" s="36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36"/>
      <c r="AJ490" s="36"/>
      <c r="AK490" s="1"/>
      <c r="AL490" s="36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Z490" s="36"/>
    </row>
    <row r="491" spans="3:78" ht="12.75">
      <c r="C491" s="1"/>
      <c r="D491" s="36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36"/>
      <c r="AJ491" s="36"/>
      <c r="AK491" s="1"/>
      <c r="AL491" s="36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Z491" s="36"/>
    </row>
    <row r="492" spans="3:78" ht="12.75">
      <c r="C492" s="1"/>
      <c r="D492" s="36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36"/>
      <c r="AJ492" s="36"/>
      <c r="AK492" s="1"/>
      <c r="AL492" s="36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Z492" s="36"/>
    </row>
    <row r="493" spans="3:78" ht="12.75">
      <c r="C493" s="1"/>
      <c r="D493" s="36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36"/>
      <c r="AJ493" s="36"/>
      <c r="AK493" s="1"/>
      <c r="AL493" s="36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Z493" s="36"/>
    </row>
    <row r="494" spans="3:78" ht="12.75">
      <c r="C494" s="1"/>
      <c r="D494" s="36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36"/>
      <c r="AJ494" s="36"/>
      <c r="AK494" s="1"/>
      <c r="AL494" s="36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Z494" s="36"/>
    </row>
    <row r="495" spans="3:78" ht="12.75">
      <c r="C495" s="1"/>
      <c r="D495" s="36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36"/>
      <c r="AJ495" s="36"/>
      <c r="AK495" s="1"/>
      <c r="AL495" s="36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Z495" s="36"/>
    </row>
    <row r="496" spans="3:78" ht="12.75">
      <c r="C496" s="1"/>
      <c r="D496" s="36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36"/>
      <c r="AJ496" s="36"/>
      <c r="AK496" s="1"/>
      <c r="AL496" s="36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Z496" s="36"/>
    </row>
    <row r="497" spans="3:78" ht="12.75">
      <c r="C497" s="1"/>
      <c r="D497" s="36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36"/>
      <c r="AJ497" s="36"/>
      <c r="AK497" s="1"/>
      <c r="AL497" s="36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Z497" s="36"/>
    </row>
    <row r="498" spans="3:78" ht="12.75">
      <c r="C498" s="1"/>
      <c r="D498" s="36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36"/>
      <c r="AJ498" s="36"/>
      <c r="AK498" s="1"/>
      <c r="AL498" s="36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Z498" s="36"/>
    </row>
    <row r="499" spans="3:78" ht="12.75">
      <c r="C499" s="1"/>
      <c r="D499" s="36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36"/>
      <c r="AJ499" s="36"/>
      <c r="AK499" s="1"/>
      <c r="AL499" s="36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Z499" s="36"/>
    </row>
    <row r="500" spans="3:78" ht="12.75">
      <c r="C500" s="1"/>
      <c r="D500" s="36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36"/>
      <c r="AJ500" s="36"/>
      <c r="AK500" s="1"/>
      <c r="AL500" s="36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Z500" s="36"/>
    </row>
    <row r="501" spans="3:78" ht="12.75">
      <c r="C501" s="1"/>
      <c r="D501" s="36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36"/>
      <c r="AJ501" s="36"/>
      <c r="AK501" s="1"/>
      <c r="AL501" s="36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Z501" s="36"/>
    </row>
    <row r="502" spans="3:78" ht="12.75">
      <c r="C502" s="1"/>
      <c r="D502" s="36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36"/>
      <c r="AJ502" s="36"/>
      <c r="AK502" s="1"/>
      <c r="AL502" s="36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Z502" s="36"/>
    </row>
    <row r="503" spans="3:78" ht="12.75">
      <c r="C503" s="1"/>
      <c r="D503" s="36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36"/>
      <c r="AJ503" s="36"/>
      <c r="AK503" s="1"/>
      <c r="AL503" s="36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Z503" s="36"/>
    </row>
    <row r="504" spans="3:78" ht="12.75">
      <c r="C504" s="1"/>
      <c r="D504" s="36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36"/>
      <c r="AJ504" s="36"/>
      <c r="AK504" s="1"/>
      <c r="AL504" s="36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Z504" s="36"/>
    </row>
    <row r="505" spans="3:78" ht="12.75">
      <c r="C505" s="1"/>
      <c r="D505" s="36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36"/>
      <c r="AJ505" s="36"/>
      <c r="AK505" s="1"/>
      <c r="AL505" s="36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Z505" s="36"/>
    </row>
    <row r="506" spans="3:78" ht="12.75">
      <c r="C506" s="1"/>
      <c r="D506" s="36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36"/>
      <c r="AJ506" s="36"/>
      <c r="AK506" s="1"/>
      <c r="AL506" s="36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Z506" s="36"/>
    </row>
    <row r="507" spans="3:78" ht="12.75">
      <c r="C507" s="1"/>
      <c r="D507" s="36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36"/>
      <c r="AJ507" s="36"/>
      <c r="AK507" s="1"/>
      <c r="AL507" s="36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Z507" s="36"/>
    </row>
    <row r="508" spans="3:78" ht="12.75">
      <c r="C508" s="1"/>
      <c r="D508" s="36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36"/>
      <c r="AJ508" s="36"/>
      <c r="AK508" s="1"/>
      <c r="AL508" s="36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Z508" s="36"/>
    </row>
    <row r="509" spans="3:78" ht="12.75">
      <c r="C509" s="1"/>
      <c r="D509" s="36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36"/>
      <c r="AJ509" s="36"/>
      <c r="AK509" s="1"/>
      <c r="AL509" s="36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Z509" s="36"/>
    </row>
    <row r="510" spans="3:78" ht="12.75">
      <c r="C510" s="1"/>
      <c r="D510" s="36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36"/>
      <c r="AJ510" s="36"/>
      <c r="AK510" s="1"/>
      <c r="AL510" s="36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Z510" s="36"/>
    </row>
    <row r="511" spans="3:78" ht="12.75">
      <c r="C511" s="1"/>
      <c r="D511" s="36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36"/>
      <c r="AJ511" s="36"/>
      <c r="AK511" s="1"/>
      <c r="AL511" s="36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Z511" s="36"/>
    </row>
    <row r="512" spans="3:78" ht="12.75">
      <c r="C512" s="1"/>
      <c r="D512" s="36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36"/>
      <c r="AJ512" s="36"/>
      <c r="AK512" s="1"/>
      <c r="AL512" s="36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Z512" s="36"/>
    </row>
    <row r="513" spans="3:78" ht="12.75">
      <c r="C513" s="1"/>
      <c r="D513" s="36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36"/>
      <c r="AJ513" s="36"/>
      <c r="AK513" s="1"/>
      <c r="AL513" s="36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Z513" s="36"/>
    </row>
    <row r="514" spans="3:78" ht="12.75">
      <c r="C514" s="1"/>
      <c r="D514" s="36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36"/>
      <c r="AJ514" s="36"/>
      <c r="AK514" s="1"/>
      <c r="AL514" s="36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Z514" s="36"/>
    </row>
    <row r="515" spans="3:78" ht="12.75">
      <c r="C515" s="1"/>
      <c r="D515" s="36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36"/>
      <c r="AJ515" s="36"/>
      <c r="AK515" s="1"/>
      <c r="AL515" s="36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Z515" s="36"/>
    </row>
    <row r="516" spans="3:78" ht="12.75">
      <c r="C516" s="1"/>
      <c r="D516" s="36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36"/>
      <c r="AJ516" s="36"/>
      <c r="AK516" s="1"/>
      <c r="AL516" s="36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Z516" s="36"/>
    </row>
    <row r="517" spans="3:78" ht="12.75">
      <c r="C517" s="1"/>
      <c r="D517" s="36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36"/>
      <c r="AJ517" s="36"/>
      <c r="AK517" s="1"/>
      <c r="AL517" s="36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Z517" s="36"/>
    </row>
    <row r="518" spans="3:78" ht="12.75">
      <c r="C518" s="1"/>
      <c r="D518" s="36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36"/>
      <c r="AJ518" s="36"/>
      <c r="AK518" s="1"/>
      <c r="AL518" s="36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Z518" s="36"/>
    </row>
    <row r="519" spans="3:78" ht="12.75">
      <c r="C519" s="1"/>
      <c r="D519" s="36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36"/>
      <c r="AJ519" s="36"/>
      <c r="AK519" s="1"/>
      <c r="AL519" s="36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Z519" s="36"/>
    </row>
    <row r="520" spans="3:78" ht="12.75">
      <c r="C520" s="1"/>
      <c r="D520" s="36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36"/>
      <c r="AJ520" s="36"/>
      <c r="AK520" s="1"/>
      <c r="AL520" s="36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Z520" s="36"/>
    </row>
    <row r="521" spans="3:78" ht="12.75">
      <c r="C521" s="1"/>
      <c r="D521" s="36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36"/>
      <c r="AJ521" s="36"/>
      <c r="AK521" s="1"/>
      <c r="AL521" s="36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Z521" s="36"/>
    </row>
    <row r="522" spans="3:78" ht="12.75">
      <c r="C522" s="1"/>
      <c r="D522" s="36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36"/>
      <c r="AJ522" s="36"/>
      <c r="AK522" s="1"/>
      <c r="AL522" s="36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Z522" s="36"/>
    </row>
    <row r="523" spans="3:78" ht="12.75">
      <c r="C523" s="1"/>
      <c r="D523" s="36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36"/>
      <c r="AJ523" s="36"/>
      <c r="AK523" s="1"/>
      <c r="AL523" s="36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Z523" s="36"/>
    </row>
    <row r="524" spans="3:78" ht="12.75">
      <c r="C524" s="1"/>
      <c r="D524" s="36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36"/>
      <c r="AJ524" s="36"/>
      <c r="AK524" s="1"/>
      <c r="AL524" s="36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Z524" s="36"/>
    </row>
    <row r="525" spans="3:78" ht="12.75">
      <c r="C525" s="1"/>
      <c r="D525" s="36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36"/>
      <c r="AJ525" s="36"/>
      <c r="AK525" s="1"/>
      <c r="AL525" s="36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Z525" s="36"/>
    </row>
    <row r="526" spans="3:78" ht="12.75">
      <c r="C526" s="1"/>
      <c r="D526" s="36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36"/>
      <c r="AJ526" s="36"/>
      <c r="AK526" s="1"/>
      <c r="AL526" s="36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Z526" s="36"/>
    </row>
    <row r="527" spans="3:78" ht="12.75">
      <c r="C527" s="1"/>
      <c r="D527" s="36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36"/>
      <c r="AJ527" s="36"/>
      <c r="AK527" s="1"/>
      <c r="AL527" s="36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Z527" s="36"/>
    </row>
    <row r="528" spans="3:78" ht="12.75">
      <c r="C528" s="1"/>
      <c r="D528" s="36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36"/>
      <c r="AJ528" s="36"/>
      <c r="AK528" s="1"/>
      <c r="AL528" s="36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Z528" s="36"/>
    </row>
    <row r="529" spans="3:78" ht="12.75">
      <c r="C529" s="1"/>
      <c r="D529" s="36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36"/>
      <c r="AJ529" s="36"/>
      <c r="AK529" s="1"/>
      <c r="AL529" s="36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Z529" s="36"/>
    </row>
    <row r="530" spans="3:78" ht="12.75">
      <c r="C530" s="1"/>
      <c r="D530" s="36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36"/>
      <c r="AJ530" s="36"/>
      <c r="AK530" s="1"/>
      <c r="AL530" s="36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Z530" s="36"/>
    </row>
    <row r="531" spans="3:78" ht="12.75">
      <c r="C531" s="1"/>
      <c r="D531" s="36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36"/>
      <c r="AJ531" s="36"/>
      <c r="AK531" s="1"/>
      <c r="AL531" s="36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Z531" s="36"/>
    </row>
    <row r="532" spans="3:78" ht="12.75">
      <c r="C532" s="1"/>
      <c r="D532" s="36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36"/>
      <c r="AJ532" s="36"/>
      <c r="AK532" s="1"/>
      <c r="AL532" s="36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Z532" s="36"/>
    </row>
    <row r="533" spans="3:78" ht="12.75">
      <c r="C533" s="1"/>
      <c r="D533" s="36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36"/>
      <c r="AJ533" s="36"/>
      <c r="AK533" s="1"/>
      <c r="AL533" s="36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Z533" s="36"/>
    </row>
    <row r="534" spans="3:78" ht="12.75">
      <c r="C534" s="1"/>
      <c r="D534" s="36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36"/>
      <c r="AJ534" s="36"/>
      <c r="AK534" s="1"/>
      <c r="AL534" s="36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Z534" s="36"/>
    </row>
    <row r="535" spans="3:78" ht="12.75">
      <c r="C535" s="1"/>
      <c r="D535" s="36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36"/>
      <c r="AJ535" s="36"/>
      <c r="AK535" s="1"/>
      <c r="AL535" s="36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Z535" s="36"/>
    </row>
    <row r="536" spans="3:78" ht="12.75">
      <c r="C536" s="1"/>
      <c r="D536" s="36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36"/>
      <c r="AJ536" s="36"/>
      <c r="AK536" s="1"/>
      <c r="AL536" s="36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Z536" s="36"/>
    </row>
    <row r="537" spans="3:78" ht="12.75">
      <c r="C537" s="1"/>
      <c r="D537" s="36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36"/>
      <c r="AJ537" s="36"/>
      <c r="AK537" s="1"/>
      <c r="AL537" s="36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Z537" s="36"/>
    </row>
    <row r="538" spans="3:78" ht="12.75">
      <c r="C538" s="1"/>
      <c r="D538" s="36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36"/>
      <c r="AJ538" s="36"/>
      <c r="AK538" s="1"/>
      <c r="AL538" s="36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Z538" s="36"/>
    </row>
    <row r="539" spans="3:78" ht="12.75">
      <c r="C539" s="1"/>
      <c r="D539" s="36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36"/>
      <c r="AJ539" s="36"/>
      <c r="AK539" s="1"/>
      <c r="AL539" s="36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Z539" s="36"/>
    </row>
    <row r="540" spans="3:78" ht="12.75">
      <c r="C540" s="1"/>
      <c r="D540" s="36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36"/>
      <c r="AJ540" s="36"/>
      <c r="AK540" s="1"/>
      <c r="AL540" s="36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Z540" s="36"/>
    </row>
    <row r="541" spans="3:78" ht="12.75">
      <c r="C541" s="1"/>
      <c r="D541" s="36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36"/>
      <c r="AJ541" s="36"/>
      <c r="AK541" s="1"/>
      <c r="AL541" s="36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Z541" s="36"/>
    </row>
    <row r="542" spans="3:78" ht="12.75">
      <c r="C542" s="1"/>
      <c r="D542" s="36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36"/>
      <c r="AJ542" s="36"/>
      <c r="AK542" s="1"/>
      <c r="AL542" s="36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Z542" s="36"/>
    </row>
    <row r="543" spans="3:78" ht="12.75">
      <c r="C543" s="1"/>
      <c r="D543" s="36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36"/>
      <c r="AJ543" s="36"/>
      <c r="AK543" s="1"/>
      <c r="AL543" s="36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Z543" s="36"/>
    </row>
    <row r="544" spans="3:78" ht="12.75">
      <c r="C544" s="1"/>
      <c r="D544" s="36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36"/>
      <c r="AJ544" s="36"/>
      <c r="AK544" s="1"/>
      <c r="AL544" s="36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Z544" s="36"/>
    </row>
    <row r="545" spans="3:78" ht="12.75">
      <c r="C545" s="1"/>
      <c r="D545" s="36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36"/>
      <c r="AJ545" s="36"/>
      <c r="AK545" s="1"/>
      <c r="AL545" s="36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Z545" s="36"/>
    </row>
    <row r="546" spans="3:78" ht="12.75">
      <c r="C546" s="1"/>
      <c r="D546" s="36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36"/>
      <c r="AJ546" s="36"/>
      <c r="AK546" s="1"/>
      <c r="AL546" s="36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Z546" s="36"/>
    </row>
    <row r="547" spans="3:78" ht="12.75">
      <c r="C547" s="1"/>
      <c r="D547" s="36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36"/>
      <c r="AJ547" s="36"/>
      <c r="AK547" s="1"/>
      <c r="AL547" s="36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Z547" s="36"/>
    </row>
    <row r="548" spans="3:78" ht="12.75">
      <c r="C548" s="1"/>
      <c r="D548" s="36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36"/>
      <c r="AJ548" s="36"/>
      <c r="AK548" s="1"/>
      <c r="AL548" s="36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Z548" s="36"/>
    </row>
    <row r="549" spans="3:78" ht="12.75">
      <c r="C549" s="1"/>
      <c r="D549" s="36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36"/>
      <c r="AJ549" s="36"/>
      <c r="AK549" s="1"/>
      <c r="AL549" s="36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Z549" s="36"/>
    </row>
    <row r="550" spans="3:78" ht="12.75">
      <c r="C550" s="1"/>
      <c r="D550" s="36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36"/>
      <c r="AJ550" s="36"/>
      <c r="AK550" s="1"/>
      <c r="AL550" s="36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Z550" s="36"/>
    </row>
    <row r="551" spans="3:78" ht="12.75">
      <c r="C551" s="1"/>
      <c r="D551" s="36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36"/>
      <c r="AJ551" s="36"/>
      <c r="AK551" s="1"/>
      <c r="AL551" s="36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Z551" s="36"/>
    </row>
    <row r="552" spans="3:78" ht="12.75">
      <c r="C552" s="1"/>
      <c r="D552" s="36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36"/>
      <c r="AJ552" s="36"/>
      <c r="AK552" s="1"/>
      <c r="AL552" s="36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Z552" s="36"/>
    </row>
    <row r="553" spans="3:78" ht="12.75">
      <c r="C553" s="1"/>
      <c r="D553" s="36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36"/>
      <c r="AJ553" s="36"/>
      <c r="AK553" s="1"/>
      <c r="AL553" s="36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Z553" s="36"/>
    </row>
    <row r="554" spans="3:78" ht="12.75">
      <c r="C554" s="1"/>
      <c r="D554" s="36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36"/>
      <c r="AJ554" s="36"/>
      <c r="AK554" s="1"/>
      <c r="AL554" s="36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Z554" s="36"/>
    </row>
    <row r="555" spans="3:78" ht="12.75">
      <c r="C555" s="1"/>
      <c r="D555" s="36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36"/>
      <c r="AJ555" s="36"/>
      <c r="AK555" s="1"/>
      <c r="AL555" s="36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Z555" s="36"/>
    </row>
    <row r="556" spans="3:78" ht="12.75">
      <c r="C556" s="1"/>
      <c r="D556" s="36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36"/>
      <c r="AJ556" s="36"/>
      <c r="AK556" s="1"/>
      <c r="AL556" s="36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Z556" s="36"/>
    </row>
    <row r="557" spans="3:78" ht="12.75">
      <c r="C557" s="1"/>
      <c r="D557" s="36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36"/>
      <c r="AJ557" s="36"/>
      <c r="AK557" s="1"/>
      <c r="AL557" s="36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Z557" s="36"/>
    </row>
    <row r="558" spans="3:78" ht="12.75">
      <c r="C558" s="1"/>
      <c r="D558" s="36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36"/>
      <c r="AJ558" s="36"/>
      <c r="AK558" s="1"/>
      <c r="AL558" s="36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Z558" s="36"/>
    </row>
    <row r="559" spans="3:78" ht="12.75">
      <c r="C559" s="1"/>
      <c r="D559" s="36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36"/>
      <c r="AJ559" s="36"/>
      <c r="AK559" s="1"/>
      <c r="AL559" s="36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Z559" s="36"/>
    </row>
    <row r="560" spans="3:78" ht="12.75">
      <c r="C560" s="1"/>
      <c r="D560" s="36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36"/>
      <c r="AJ560" s="36"/>
      <c r="AK560" s="1"/>
      <c r="AL560" s="36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Z560" s="36"/>
    </row>
    <row r="561" spans="3:78" ht="12.75">
      <c r="C561" s="1"/>
      <c r="D561" s="36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36"/>
      <c r="AJ561" s="36"/>
      <c r="AK561" s="1"/>
      <c r="AL561" s="36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Z561" s="36"/>
    </row>
    <row r="562" spans="3:78" ht="12.75">
      <c r="C562" s="1"/>
      <c r="D562" s="36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36"/>
      <c r="AJ562" s="36"/>
      <c r="AK562" s="1"/>
      <c r="AL562" s="36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Z562" s="36"/>
    </row>
    <row r="563" spans="3:78" ht="12.75">
      <c r="C563" s="1"/>
      <c r="D563" s="36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36"/>
      <c r="AJ563" s="36"/>
      <c r="AK563" s="1"/>
      <c r="AL563" s="36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Z563" s="36"/>
    </row>
    <row r="564" spans="3:78" ht="12.75">
      <c r="C564" s="1"/>
      <c r="D564" s="36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36"/>
      <c r="AJ564" s="36"/>
      <c r="AK564" s="1"/>
      <c r="AL564" s="36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Z564" s="36"/>
    </row>
    <row r="565" spans="3:78" ht="12.75">
      <c r="C565" s="1"/>
      <c r="D565" s="36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36"/>
      <c r="AJ565" s="36"/>
      <c r="AK565" s="1"/>
      <c r="AL565" s="36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Z565" s="36"/>
    </row>
    <row r="566" spans="3:78" ht="12.75">
      <c r="C566" s="1"/>
      <c r="D566" s="36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36"/>
      <c r="AJ566" s="36"/>
      <c r="AK566" s="1"/>
      <c r="AL566" s="36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Z566" s="36"/>
    </row>
    <row r="567" spans="3:78" ht="12.75">
      <c r="C567" s="1"/>
      <c r="D567" s="36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36"/>
      <c r="AJ567" s="36"/>
      <c r="AK567" s="1"/>
      <c r="AL567" s="36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Z567" s="36"/>
    </row>
    <row r="568" spans="3:78" ht="12.75">
      <c r="C568" s="1"/>
      <c r="D568" s="36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36"/>
      <c r="AJ568" s="36"/>
      <c r="AK568" s="1"/>
      <c r="AL568" s="36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Z568" s="36"/>
    </row>
    <row r="569" spans="3:78" ht="12.75">
      <c r="C569" s="1"/>
      <c r="D569" s="36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36"/>
      <c r="AJ569" s="36"/>
      <c r="AK569" s="1"/>
      <c r="AL569" s="36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Z569" s="36"/>
    </row>
    <row r="570" spans="3:78" ht="12.75">
      <c r="C570" s="1"/>
      <c r="D570" s="36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36"/>
      <c r="AJ570" s="36"/>
      <c r="AK570" s="1"/>
      <c r="AL570" s="36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Z570" s="36"/>
    </row>
    <row r="571" spans="3:78" ht="12.75">
      <c r="C571" s="1"/>
      <c r="D571" s="36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36"/>
      <c r="AJ571" s="36"/>
      <c r="AK571" s="1"/>
      <c r="AL571" s="36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Z571" s="36"/>
    </row>
    <row r="572" spans="3:78" ht="12.75">
      <c r="C572" s="1"/>
      <c r="D572" s="36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36"/>
      <c r="AJ572" s="36"/>
      <c r="AK572" s="1"/>
      <c r="AL572" s="36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Z572" s="36"/>
    </row>
    <row r="573" spans="3:78" ht="12.75">
      <c r="C573" s="1"/>
      <c r="D573" s="36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36"/>
      <c r="AJ573" s="36"/>
      <c r="AK573" s="1"/>
      <c r="AL573" s="36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Z573" s="36"/>
    </row>
    <row r="574" spans="3:78" ht="12.75">
      <c r="C574" s="1"/>
      <c r="D574" s="36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36"/>
      <c r="AJ574" s="36"/>
      <c r="AK574" s="1"/>
      <c r="AL574" s="36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Z574" s="36"/>
    </row>
    <row r="575" spans="3:78" ht="12.75">
      <c r="C575" s="1"/>
      <c r="D575" s="36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36"/>
      <c r="AJ575" s="36"/>
      <c r="AK575" s="1"/>
      <c r="AL575" s="36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Z575" s="36"/>
    </row>
    <row r="576" spans="3:78" ht="12.75">
      <c r="C576" s="1"/>
      <c r="D576" s="36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36"/>
      <c r="AJ576" s="36"/>
      <c r="AK576" s="1"/>
      <c r="AL576" s="36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Z576" s="36"/>
    </row>
    <row r="577" spans="3:78" ht="12.75">
      <c r="C577" s="1"/>
      <c r="D577" s="36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36"/>
      <c r="AJ577" s="36"/>
      <c r="AK577" s="1"/>
      <c r="AL577" s="36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Z577" s="36"/>
    </row>
    <row r="578" spans="3:78" ht="12.75">
      <c r="C578" s="1"/>
      <c r="D578" s="36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36"/>
      <c r="AJ578" s="36"/>
      <c r="AK578" s="1"/>
      <c r="AL578" s="36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Z578" s="36"/>
    </row>
    <row r="579" spans="3:78" ht="12.75">
      <c r="C579" s="1"/>
      <c r="D579" s="36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36"/>
      <c r="AJ579" s="36"/>
      <c r="AK579" s="1"/>
      <c r="AL579" s="36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Z579" s="36"/>
    </row>
    <row r="580" spans="3:78" ht="12.75">
      <c r="C580" s="1"/>
      <c r="D580" s="36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36"/>
      <c r="AJ580" s="36"/>
      <c r="AK580" s="1"/>
      <c r="AL580" s="36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Z580" s="36"/>
    </row>
    <row r="581" spans="3:78" ht="12.75">
      <c r="C581" s="1"/>
      <c r="D581" s="36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36"/>
      <c r="AJ581" s="36"/>
      <c r="AK581" s="1"/>
      <c r="AL581" s="36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Z581" s="36"/>
    </row>
    <row r="582" spans="3:78" ht="12.75">
      <c r="C582" s="1"/>
      <c r="D582" s="36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36"/>
      <c r="AJ582" s="36"/>
      <c r="AK582" s="1"/>
      <c r="AL582" s="36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Z582" s="36"/>
    </row>
    <row r="583" spans="3:78" ht="12.75">
      <c r="C583" s="1"/>
      <c r="D583" s="36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36"/>
      <c r="AJ583" s="36"/>
      <c r="AK583" s="1"/>
      <c r="AL583" s="36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Z583" s="36"/>
    </row>
    <row r="584" spans="3:78" ht="12.75">
      <c r="C584" s="1"/>
      <c r="D584" s="36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36"/>
      <c r="AJ584" s="36"/>
      <c r="AK584" s="1"/>
      <c r="AL584" s="36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Z584" s="36"/>
    </row>
    <row r="585" spans="3:78" ht="12.75">
      <c r="C585" s="1"/>
      <c r="D585" s="36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36"/>
      <c r="AJ585" s="36"/>
      <c r="AK585" s="1"/>
      <c r="AL585" s="36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Z585" s="36"/>
    </row>
    <row r="586" spans="3:78" ht="12.75">
      <c r="C586" s="1"/>
      <c r="D586" s="36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36"/>
      <c r="AJ586" s="36"/>
      <c r="AK586" s="1"/>
      <c r="AL586" s="36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Z586" s="36"/>
    </row>
    <row r="587" spans="3:78" ht="12.75">
      <c r="C587" s="1"/>
      <c r="D587" s="36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36"/>
      <c r="AJ587" s="36"/>
      <c r="AK587" s="1"/>
      <c r="AL587" s="36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Z587" s="36"/>
    </row>
    <row r="588" spans="3:78" ht="12.75">
      <c r="C588" s="1"/>
      <c r="D588" s="36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36"/>
      <c r="AJ588" s="36"/>
      <c r="AK588" s="1"/>
      <c r="AL588" s="36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Z588" s="36"/>
    </row>
    <row r="589" spans="3:78" ht="12.75">
      <c r="C589" s="1"/>
      <c r="D589" s="36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36"/>
      <c r="AJ589" s="36"/>
      <c r="AK589" s="1"/>
      <c r="AL589" s="36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Z589" s="36"/>
    </row>
    <row r="590" spans="3:78" ht="12.75">
      <c r="C590" s="1"/>
      <c r="D590" s="36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36"/>
      <c r="AJ590" s="36"/>
      <c r="AK590" s="1"/>
      <c r="AL590" s="36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Z590" s="36"/>
    </row>
    <row r="591" spans="3:78" ht="12.75">
      <c r="C591" s="1"/>
      <c r="D591" s="36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36"/>
      <c r="AJ591" s="36"/>
      <c r="AK591" s="1"/>
      <c r="AL591" s="36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Z591" s="36"/>
    </row>
    <row r="592" spans="3:78" ht="12.75">
      <c r="C592" s="1"/>
      <c r="D592" s="36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36"/>
      <c r="AJ592" s="36"/>
      <c r="AK592" s="1"/>
      <c r="AL592" s="36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Z592" s="36"/>
    </row>
    <row r="593" spans="3:78" ht="12.75">
      <c r="C593" s="1"/>
      <c r="D593" s="36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36"/>
      <c r="AJ593" s="36"/>
      <c r="AK593" s="1"/>
      <c r="AL593" s="36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Z593" s="36"/>
    </row>
    <row r="594" spans="3:78" ht="12.75">
      <c r="C594" s="1"/>
      <c r="D594" s="36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36"/>
      <c r="AJ594" s="36"/>
      <c r="AK594" s="1"/>
      <c r="AL594" s="36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Z594" s="36"/>
    </row>
    <row r="595" spans="3:78" ht="12.75">
      <c r="C595" s="1"/>
      <c r="D595" s="36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36"/>
      <c r="AJ595" s="36"/>
      <c r="AK595" s="1"/>
      <c r="AL595" s="36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Z595" s="36"/>
    </row>
    <row r="596" spans="3:78" ht="12.75">
      <c r="C596" s="1"/>
      <c r="D596" s="36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36"/>
      <c r="AJ596" s="36"/>
      <c r="AK596" s="1"/>
      <c r="AL596" s="36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Z596" s="36"/>
    </row>
    <row r="597" spans="3:78" ht="12.75">
      <c r="C597" s="1"/>
      <c r="D597" s="36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36"/>
      <c r="AJ597" s="36"/>
      <c r="AK597" s="1"/>
      <c r="AL597" s="36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Z597" s="36"/>
    </row>
    <row r="598" spans="3:78" ht="12.75">
      <c r="C598" s="1"/>
      <c r="D598" s="36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36"/>
      <c r="AJ598" s="36"/>
      <c r="AK598" s="1"/>
      <c r="AL598" s="36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Z598" s="36"/>
    </row>
    <row r="599" spans="3:78" ht="12.75">
      <c r="C599" s="1"/>
      <c r="D599" s="36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36"/>
      <c r="AJ599" s="36"/>
      <c r="AK599" s="1"/>
      <c r="AL599" s="36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Z599" s="36"/>
    </row>
    <row r="600" spans="3:78" ht="12.75">
      <c r="C600" s="1"/>
      <c r="D600" s="36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36"/>
      <c r="AJ600" s="36"/>
      <c r="AK600" s="1"/>
      <c r="AL600" s="36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Z600" s="36"/>
    </row>
    <row r="601" spans="3:78" ht="12.75">
      <c r="C601" s="1"/>
      <c r="D601" s="36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36"/>
      <c r="AJ601" s="36"/>
      <c r="AK601" s="1"/>
      <c r="AL601" s="36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Z601" s="36"/>
    </row>
    <row r="602" spans="3:78" ht="12.75">
      <c r="C602" s="1"/>
      <c r="D602" s="36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36"/>
      <c r="AJ602" s="36"/>
      <c r="AK602" s="1"/>
      <c r="AL602" s="36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Z602" s="36"/>
    </row>
    <row r="603" spans="3:78" ht="12.75">
      <c r="C603" s="1"/>
      <c r="D603" s="36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36"/>
      <c r="AJ603" s="36"/>
      <c r="AK603" s="1"/>
      <c r="AL603" s="36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Z603" s="36"/>
    </row>
    <row r="604" spans="3:78" ht="12.75">
      <c r="C604" s="1"/>
      <c r="D604" s="36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36"/>
      <c r="AJ604" s="36"/>
      <c r="AK604" s="1"/>
      <c r="AL604" s="36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Z604" s="36"/>
    </row>
    <row r="605" spans="3:78" ht="12.75">
      <c r="C605" s="1"/>
      <c r="D605" s="36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36"/>
      <c r="AJ605" s="36"/>
      <c r="AK605" s="1"/>
      <c r="AL605" s="36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Z605" s="36"/>
    </row>
    <row r="606" spans="3:78" ht="12.75">
      <c r="C606" s="1"/>
      <c r="D606" s="36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36"/>
      <c r="AJ606" s="36"/>
      <c r="AK606" s="1"/>
      <c r="AL606" s="36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Z606" s="36"/>
    </row>
    <row r="607" spans="3:78" ht="12.75">
      <c r="C607" s="1"/>
      <c r="D607" s="36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36"/>
      <c r="AJ607" s="36"/>
      <c r="AK607" s="1"/>
      <c r="AL607" s="36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Z607" s="36"/>
    </row>
    <row r="608" spans="3:78" ht="12.75">
      <c r="C608" s="1"/>
      <c r="D608" s="36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36"/>
      <c r="AJ608" s="36"/>
      <c r="AK608" s="1"/>
      <c r="AL608" s="36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Z608" s="36"/>
    </row>
    <row r="609" spans="3:78" ht="12.75">
      <c r="C609" s="1"/>
      <c r="D609" s="36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36"/>
      <c r="AJ609" s="36"/>
      <c r="AK609" s="1"/>
      <c r="AL609" s="36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Z609" s="36"/>
    </row>
    <row r="610" spans="3:78" ht="12.75">
      <c r="C610" s="1"/>
      <c r="D610" s="36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36"/>
      <c r="AJ610" s="36"/>
      <c r="AK610" s="1"/>
      <c r="AL610" s="36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Z610" s="36"/>
    </row>
    <row r="611" spans="3:78" ht="12.75">
      <c r="C611" s="1"/>
      <c r="D611" s="36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36"/>
      <c r="AJ611" s="36"/>
      <c r="AK611" s="1"/>
      <c r="AL611" s="36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Z611" s="36"/>
    </row>
    <row r="612" spans="3:78" ht="12.75">
      <c r="C612" s="1"/>
      <c r="D612" s="36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36"/>
      <c r="AJ612" s="36"/>
      <c r="AK612" s="1"/>
      <c r="AL612" s="36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Z612" s="36"/>
    </row>
    <row r="613" spans="3:78" ht="12.75">
      <c r="C613" s="1"/>
      <c r="D613" s="36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36"/>
      <c r="AJ613" s="36"/>
      <c r="AK613" s="1"/>
      <c r="AL613" s="36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Z613" s="36"/>
    </row>
    <row r="614" spans="3:78" ht="12.75">
      <c r="C614" s="1"/>
      <c r="D614" s="36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36"/>
      <c r="AJ614" s="36"/>
      <c r="AK614" s="1"/>
      <c r="AL614" s="36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Z614" s="36"/>
    </row>
    <row r="615" spans="3:78" ht="12.75">
      <c r="C615" s="1"/>
      <c r="D615" s="36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36"/>
      <c r="AJ615" s="36"/>
      <c r="AK615" s="1"/>
      <c r="AL615" s="36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Z615" s="36"/>
    </row>
    <row r="616" spans="3:78" ht="12.75">
      <c r="C616" s="1"/>
      <c r="D616" s="36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36"/>
      <c r="AJ616" s="36"/>
      <c r="AK616" s="1"/>
      <c r="AL616" s="36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Z616" s="36"/>
    </row>
    <row r="617" spans="3:78" ht="12.75">
      <c r="C617" s="1"/>
      <c r="D617" s="36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36"/>
      <c r="AJ617" s="36"/>
      <c r="AK617" s="1"/>
      <c r="AL617" s="36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Z617" s="36"/>
    </row>
    <row r="618" spans="3:78" ht="12.75">
      <c r="C618" s="1"/>
      <c r="D618" s="36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36"/>
      <c r="AJ618" s="36"/>
      <c r="AK618" s="1"/>
      <c r="AL618" s="36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Z618" s="36"/>
    </row>
    <row r="619" spans="3:78" ht="12.75">
      <c r="C619" s="1"/>
      <c r="D619" s="36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36"/>
      <c r="AJ619" s="36"/>
      <c r="AK619" s="1"/>
      <c r="AL619" s="36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Z619" s="36"/>
    </row>
    <row r="620" spans="3:78" ht="12.75">
      <c r="C620" s="1"/>
      <c r="D620" s="36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36"/>
      <c r="AJ620" s="36"/>
      <c r="AK620" s="1"/>
      <c r="AL620" s="36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Z620" s="36"/>
    </row>
    <row r="621" spans="3:78" ht="12.75">
      <c r="C621" s="1"/>
      <c r="D621" s="36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36"/>
      <c r="AJ621" s="36"/>
      <c r="AK621" s="1"/>
      <c r="AL621" s="36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Z621" s="36"/>
    </row>
    <row r="622" spans="3:78" ht="12.75">
      <c r="C622" s="1"/>
      <c r="D622" s="36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36"/>
      <c r="AJ622" s="36"/>
      <c r="AK622" s="1"/>
      <c r="AL622" s="36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Z622" s="36"/>
    </row>
    <row r="623" spans="3:78" ht="12.75">
      <c r="C623" s="1"/>
      <c r="D623" s="36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36"/>
      <c r="AJ623" s="36"/>
      <c r="AK623" s="1"/>
      <c r="AL623" s="36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Z623" s="36"/>
    </row>
    <row r="624" spans="3:78" ht="12.75">
      <c r="C624" s="1"/>
      <c r="D624" s="36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36"/>
      <c r="AJ624" s="36"/>
      <c r="AK624" s="1"/>
      <c r="AL624" s="36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Z624" s="36"/>
    </row>
    <row r="625" spans="3:78" ht="12.75">
      <c r="C625" s="1"/>
      <c r="D625" s="36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36"/>
      <c r="AJ625" s="36"/>
      <c r="AK625" s="1"/>
      <c r="AL625" s="36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Z625" s="36"/>
    </row>
    <row r="626" spans="3:78" ht="12.75">
      <c r="C626" s="1"/>
      <c r="D626" s="36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36"/>
      <c r="AJ626" s="36"/>
      <c r="AK626" s="1"/>
      <c r="AL626" s="36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Z626" s="36"/>
    </row>
    <row r="627" spans="3:78" ht="12.75">
      <c r="C627" s="1"/>
      <c r="D627" s="36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36"/>
      <c r="AJ627" s="36"/>
      <c r="AK627" s="1"/>
      <c r="AL627" s="36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Z627" s="36"/>
    </row>
    <row r="628" spans="3:78" ht="12.75">
      <c r="C628" s="1"/>
      <c r="D628" s="36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36"/>
      <c r="AJ628" s="36"/>
      <c r="AK628" s="1"/>
      <c r="AL628" s="36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Z628" s="36"/>
    </row>
    <row r="629" spans="3:78" ht="12.75">
      <c r="C629" s="1"/>
      <c r="D629" s="36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36"/>
      <c r="AJ629" s="36"/>
      <c r="AK629" s="1"/>
      <c r="AL629" s="36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Z629" s="36"/>
    </row>
    <row r="630" spans="3:78" ht="12.75">
      <c r="C630" s="1"/>
      <c r="D630" s="36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36"/>
      <c r="AJ630" s="36"/>
      <c r="AK630" s="1"/>
      <c r="AL630" s="36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Z630" s="36"/>
    </row>
    <row r="631" spans="3:78" ht="12.75">
      <c r="C631" s="1"/>
      <c r="D631" s="36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36"/>
      <c r="AJ631" s="36"/>
      <c r="AK631" s="1"/>
      <c r="AL631" s="36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Z631" s="36"/>
    </row>
    <row r="632" spans="3:78" ht="12.75">
      <c r="C632" s="1"/>
      <c r="D632" s="36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36"/>
      <c r="AJ632" s="36"/>
      <c r="AK632" s="1"/>
      <c r="AL632" s="36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Z632" s="36"/>
    </row>
    <row r="633" spans="3:78" ht="12.75">
      <c r="C633" s="1"/>
      <c r="D633" s="36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36"/>
      <c r="AJ633" s="36"/>
      <c r="AK633" s="1"/>
      <c r="AL633" s="36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Z633" s="36"/>
    </row>
    <row r="634" spans="3:78" ht="12.75">
      <c r="C634" s="1"/>
      <c r="D634" s="36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36"/>
      <c r="AJ634" s="36"/>
      <c r="AK634" s="1"/>
      <c r="AL634" s="36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Z634" s="36"/>
    </row>
    <row r="635" spans="3:78" ht="12.75">
      <c r="C635" s="1"/>
      <c r="D635" s="36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36"/>
      <c r="AJ635" s="36"/>
      <c r="AK635" s="1"/>
      <c r="AL635" s="36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Z635" s="36"/>
    </row>
    <row r="636" spans="3:78" ht="12.75">
      <c r="C636" s="1"/>
      <c r="D636" s="36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36"/>
      <c r="AJ636" s="36"/>
      <c r="AK636" s="1"/>
      <c r="AL636" s="36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Z636" s="36"/>
    </row>
    <row r="637" spans="3:78" ht="12.75">
      <c r="C637" s="1"/>
      <c r="D637" s="36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36"/>
      <c r="AJ637" s="36"/>
      <c r="AK637" s="1"/>
      <c r="AL637" s="36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Z637" s="36"/>
    </row>
    <row r="638" spans="3:78" ht="12.75">
      <c r="C638" s="1"/>
      <c r="D638" s="36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36"/>
      <c r="AJ638" s="36"/>
      <c r="AK638" s="1"/>
      <c r="AL638" s="36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Z638" s="36"/>
    </row>
    <row r="639" spans="3:78" ht="12.75">
      <c r="C639" s="1"/>
      <c r="D639" s="36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36"/>
      <c r="AJ639" s="36"/>
      <c r="AK639" s="1"/>
      <c r="AL639" s="36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Z639" s="36"/>
    </row>
    <row r="640" spans="3:78" ht="12.75">
      <c r="C640" s="1"/>
      <c r="D640" s="36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36"/>
      <c r="AJ640" s="36"/>
      <c r="AK640" s="1"/>
      <c r="AL640" s="36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Z640" s="36"/>
    </row>
    <row r="641" spans="3:78" ht="12.75">
      <c r="C641" s="1"/>
      <c r="D641" s="36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36"/>
      <c r="AJ641" s="36"/>
      <c r="AK641" s="1"/>
      <c r="AL641" s="36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Z641" s="36"/>
    </row>
    <row r="642" spans="3:78" ht="12.75">
      <c r="C642" s="1"/>
      <c r="D642" s="36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36"/>
      <c r="AJ642" s="36"/>
      <c r="AK642" s="1"/>
      <c r="AL642" s="36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Z642" s="36"/>
    </row>
    <row r="643" spans="3:78" ht="12.75">
      <c r="C643" s="1"/>
      <c r="D643" s="36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36"/>
      <c r="AJ643" s="36"/>
      <c r="AK643" s="1"/>
      <c r="AL643" s="36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Z643" s="36"/>
    </row>
    <row r="644" spans="3:78" ht="12.75">
      <c r="C644" s="1"/>
      <c r="D644" s="36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36"/>
      <c r="AJ644" s="36"/>
      <c r="AK644" s="1"/>
      <c r="AL644" s="36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Z644" s="36"/>
    </row>
    <row r="645" spans="3:78" ht="12.75">
      <c r="C645" s="1"/>
      <c r="D645" s="36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36"/>
      <c r="AJ645" s="36"/>
      <c r="AK645" s="1"/>
      <c r="AL645" s="36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Z645" s="36"/>
    </row>
    <row r="646" spans="3:78" ht="12.75">
      <c r="C646" s="1"/>
      <c r="D646" s="36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36"/>
      <c r="AJ646" s="36"/>
      <c r="AK646" s="1"/>
      <c r="AL646" s="36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Z646" s="36"/>
    </row>
    <row r="647" spans="3:78" ht="12.75">
      <c r="C647" s="1"/>
      <c r="D647" s="36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36"/>
      <c r="AJ647" s="36"/>
      <c r="AK647" s="1"/>
      <c r="AL647" s="36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Z647" s="36"/>
    </row>
    <row r="648" spans="3:78" ht="12.75">
      <c r="C648" s="1"/>
      <c r="D648" s="36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36"/>
      <c r="AJ648" s="36"/>
      <c r="AK648" s="1"/>
      <c r="AL648" s="36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Z648" s="36"/>
    </row>
    <row r="649" spans="3:78" ht="12.75">
      <c r="C649" s="1"/>
      <c r="D649" s="36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36"/>
      <c r="AJ649" s="36"/>
      <c r="AK649" s="1"/>
      <c r="AL649" s="36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Z649" s="36"/>
    </row>
    <row r="650" spans="3:78" ht="12.75">
      <c r="C650" s="1"/>
      <c r="D650" s="36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36"/>
      <c r="AJ650" s="36"/>
      <c r="AK650" s="1"/>
      <c r="AL650" s="36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Z650" s="36"/>
    </row>
    <row r="651" spans="3:78" ht="12.75">
      <c r="C651" s="1"/>
      <c r="D651" s="36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36"/>
      <c r="AJ651" s="36"/>
      <c r="AK651" s="1"/>
      <c r="AL651" s="36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Z651" s="36"/>
    </row>
    <row r="652" spans="3:78" ht="12.75">
      <c r="C652" s="1"/>
      <c r="D652" s="36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36"/>
      <c r="AJ652" s="36"/>
      <c r="AK652" s="1"/>
      <c r="AL652" s="36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Z652" s="36"/>
    </row>
    <row r="653" spans="3:78" ht="12.75">
      <c r="C653" s="1"/>
      <c r="D653" s="36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36"/>
      <c r="AJ653" s="36"/>
      <c r="AK653" s="1"/>
      <c r="AL653" s="36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Z653" s="36"/>
    </row>
    <row r="654" spans="3:78" ht="12.75">
      <c r="C654" s="1"/>
      <c r="D654" s="36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36"/>
      <c r="AJ654" s="36"/>
      <c r="AK654" s="1"/>
      <c r="AL654" s="36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Z654" s="36"/>
    </row>
    <row r="655" spans="3:78" ht="12.75">
      <c r="C655" s="1"/>
      <c r="D655" s="36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36"/>
      <c r="AJ655" s="36"/>
      <c r="AK655" s="1"/>
      <c r="AL655" s="36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Z655" s="36"/>
    </row>
    <row r="656" spans="3:78" ht="12.75">
      <c r="C656" s="1"/>
      <c r="D656" s="36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36"/>
      <c r="AJ656" s="36"/>
      <c r="AK656" s="1"/>
      <c r="AL656" s="36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Z656" s="36"/>
    </row>
    <row r="657" spans="3:78" ht="12.75">
      <c r="C657" s="1"/>
      <c r="D657" s="36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36"/>
      <c r="AJ657" s="36"/>
      <c r="AK657" s="1"/>
      <c r="AL657" s="36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Z657" s="36"/>
    </row>
    <row r="658" spans="3:78" ht="12.75">
      <c r="C658" s="1"/>
      <c r="D658" s="36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36"/>
      <c r="AJ658" s="36"/>
      <c r="AK658" s="1"/>
      <c r="AL658" s="36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Z658" s="36"/>
    </row>
    <row r="659" spans="3:78" ht="12.75">
      <c r="C659" s="1"/>
      <c r="D659" s="36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36"/>
      <c r="AJ659" s="36"/>
      <c r="AK659" s="1"/>
      <c r="AL659" s="36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Z659" s="36"/>
    </row>
    <row r="660" spans="3:78" ht="12.75">
      <c r="C660" s="1"/>
      <c r="D660" s="36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36"/>
      <c r="AJ660" s="36"/>
      <c r="AK660" s="1"/>
      <c r="AL660" s="36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Z660" s="36"/>
    </row>
    <row r="661" spans="3:78" ht="12.75">
      <c r="C661" s="1"/>
      <c r="D661" s="36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36"/>
      <c r="AJ661" s="36"/>
      <c r="AK661" s="1"/>
      <c r="AL661" s="36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Z661" s="36"/>
    </row>
    <row r="662" spans="3:78" ht="12.75">
      <c r="C662" s="1"/>
      <c r="D662" s="36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36"/>
      <c r="AJ662" s="36"/>
      <c r="AK662" s="1"/>
      <c r="AL662" s="36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Z662" s="36"/>
    </row>
    <row r="663" spans="3:78" ht="12.75">
      <c r="C663" s="1"/>
      <c r="D663" s="36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36"/>
      <c r="AJ663" s="36"/>
      <c r="AK663" s="1"/>
      <c r="AL663" s="36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Z663" s="36"/>
    </row>
    <row r="664" spans="3:78" ht="12.75">
      <c r="C664" s="1"/>
      <c r="D664" s="36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36"/>
      <c r="AJ664" s="36"/>
      <c r="AK664" s="1"/>
      <c r="AL664" s="36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Z664" s="36"/>
    </row>
    <row r="665" spans="3:78" ht="12.75">
      <c r="C665" s="1"/>
      <c r="D665" s="36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36"/>
      <c r="AJ665" s="36"/>
      <c r="AK665" s="1"/>
      <c r="AL665" s="36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Z665" s="36"/>
    </row>
    <row r="666" spans="3:78" ht="12.75">
      <c r="C666" s="1"/>
      <c r="D666" s="36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36"/>
      <c r="AJ666" s="36"/>
      <c r="AK666" s="1"/>
      <c r="AL666" s="36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Z666" s="36"/>
    </row>
    <row r="667" spans="3:78" ht="12.75">
      <c r="C667" s="1"/>
      <c r="D667" s="36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36"/>
      <c r="AJ667" s="36"/>
      <c r="AK667" s="1"/>
      <c r="AL667" s="36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Z667" s="36"/>
    </row>
    <row r="668" spans="3:78" ht="12.75">
      <c r="C668" s="1"/>
      <c r="D668" s="36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36"/>
      <c r="AJ668" s="36"/>
      <c r="AK668" s="1"/>
      <c r="AL668" s="36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Z668" s="36"/>
    </row>
    <row r="669" spans="3:78" ht="12.75">
      <c r="C669" s="1"/>
      <c r="D669" s="36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36"/>
      <c r="AJ669" s="36"/>
      <c r="AK669" s="1"/>
      <c r="AL669" s="36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Z669" s="36"/>
    </row>
    <row r="670" spans="3:78" ht="12.75">
      <c r="C670" s="1"/>
      <c r="D670" s="36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36"/>
      <c r="AJ670" s="36"/>
      <c r="AK670" s="1"/>
      <c r="AL670" s="36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Z670" s="36"/>
    </row>
    <row r="671" spans="3:78" ht="12.75">
      <c r="C671" s="1"/>
      <c r="D671" s="36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36"/>
      <c r="AJ671" s="36"/>
      <c r="AK671" s="1"/>
      <c r="AL671" s="36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Z671" s="36"/>
    </row>
    <row r="672" spans="3:78" ht="12.75">
      <c r="C672" s="1"/>
      <c r="D672" s="36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36"/>
      <c r="AJ672" s="36"/>
      <c r="AK672" s="1"/>
      <c r="AL672" s="36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Z672" s="36"/>
    </row>
    <row r="673" spans="3:78" ht="12.75">
      <c r="C673" s="1"/>
      <c r="D673" s="36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36"/>
      <c r="AJ673" s="36"/>
      <c r="AK673" s="1"/>
      <c r="AL673" s="36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Z673" s="36"/>
    </row>
    <row r="674" spans="3:78" ht="12.75">
      <c r="C674" s="1"/>
      <c r="D674" s="36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36"/>
      <c r="AJ674" s="36"/>
      <c r="AK674" s="1"/>
      <c r="AL674" s="36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Z674" s="36"/>
    </row>
    <row r="675" spans="3:78" ht="12.75">
      <c r="C675" s="1"/>
      <c r="D675" s="36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36"/>
      <c r="AJ675" s="36"/>
      <c r="AK675" s="1"/>
      <c r="AL675" s="36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Z675" s="36"/>
    </row>
    <row r="676" spans="3:78" ht="12.75">
      <c r="C676" s="1"/>
      <c r="D676" s="36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36"/>
      <c r="AJ676" s="36"/>
      <c r="AK676" s="1"/>
      <c r="AL676" s="36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Z676" s="36"/>
    </row>
    <row r="677" spans="3:78" ht="12.75">
      <c r="C677" s="1"/>
      <c r="D677" s="36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36"/>
      <c r="AJ677" s="36"/>
      <c r="AK677" s="1"/>
      <c r="AL677" s="36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Z677" s="36"/>
    </row>
    <row r="678" spans="3:78" ht="12.75">
      <c r="C678" s="1"/>
      <c r="D678" s="36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36"/>
      <c r="AJ678" s="36"/>
      <c r="AK678" s="1"/>
      <c r="AL678" s="36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Z678" s="36"/>
    </row>
    <row r="679" spans="3:78" ht="12.75">
      <c r="C679" s="1"/>
      <c r="D679" s="36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36"/>
      <c r="AJ679" s="36"/>
      <c r="AK679" s="1"/>
      <c r="AL679" s="36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Z679" s="36"/>
    </row>
    <row r="680" spans="3:78" ht="12.75">
      <c r="C680" s="1"/>
      <c r="D680" s="36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36"/>
      <c r="AJ680" s="36"/>
      <c r="AK680" s="1"/>
      <c r="AL680" s="36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Z680" s="36"/>
    </row>
    <row r="681" spans="3:78" ht="12.75">
      <c r="C681" s="1"/>
      <c r="D681" s="36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36"/>
      <c r="AJ681" s="36"/>
      <c r="AK681" s="1"/>
      <c r="AL681" s="36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Z681" s="36"/>
    </row>
    <row r="682" spans="3:78" ht="12.75">
      <c r="C682" s="1"/>
      <c r="D682" s="36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36"/>
      <c r="AJ682" s="36"/>
      <c r="AK682" s="1"/>
      <c r="AL682" s="36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Z682" s="36"/>
    </row>
    <row r="683" spans="3:78" ht="12.75">
      <c r="C683" s="1"/>
      <c r="D683" s="36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36"/>
      <c r="AJ683" s="36"/>
      <c r="AK683" s="1"/>
      <c r="AL683" s="36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Z683" s="36"/>
    </row>
    <row r="684" spans="3:78" ht="12.75">
      <c r="C684" s="1"/>
      <c r="D684" s="36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36"/>
      <c r="AJ684" s="36"/>
      <c r="AK684" s="1"/>
      <c r="AL684" s="36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Z684" s="36"/>
    </row>
    <row r="685" spans="3:78" ht="12.75">
      <c r="C685" s="1"/>
      <c r="D685" s="36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36"/>
      <c r="AJ685" s="36"/>
      <c r="AK685" s="1"/>
      <c r="AL685" s="36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Z685" s="36"/>
    </row>
    <row r="686" spans="3:78" ht="12.75">
      <c r="C686" s="1"/>
      <c r="D686" s="36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36"/>
      <c r="AJ686" s="36"/>
      <c r="AK686" s="1"/>
      <c r="AL686" s="36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Z686" s="36"/>
    </row>
    <row r="687" spans="3:78" ht="12.75">
      <c r="C687" s="1"/>
      <c r="D687" s="36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36"/>
      <c r="AJ687" s="36"/>
      <c r="AK687" s="1"/>
      <c r="AL687" s="36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Z687" s="36"/>
    </row>
    <row r="688" spans="3:78" ht="12.75">
      <c r="C688" s="1"/>
      <c r="D688" s="36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36"/>
      <c r="AJ688" s="36"/>
      <c r="AK688" s="1"/>
      <c r="AL688" s="36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Z688" s="36"/>
    </row>
    <row r="689" spans="3:78" ht="12.75">
      <c r="C689" s="1"/>
      <c r="D689" s="36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36"/>
      <c r="AJ689" s="36"/>
      <c r="AK689" s="1"/>
      <c r="AL689" s="36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Z689" s="36"/>
    </row>
    <row r="690" spans="3:78" ht="12.75">
      <c r="C690" s="1"/>
      <c r="D690" s="36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36"/>
      <c r="AJ690" s="36"/>
      <c r="AK690" s="1"/>
      <c r="AL690" s="36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Z690" s="36"/>
    </row>
    <row r="691" spans="3:78" ht="12.75">
      <c r="C691" s="1"/>
      <c r="D691" s="36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36"/>
      <c r="AJ691" s="36"/>
      <c r="AK691" s="1"/>
      <c r="AL691" s="36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Z691" s="36"/>
    </row>
    <row r="692" spans="3:78" ht="12.75">
      <c r="C692" s="1"/>
      <c r="D692" s="36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36"/>
      <c r="AJ692" s="36"/>
      <c r="AK692" s="1"/>
      <c r="AL692" s="36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Z692" s="36"/>
    </row>
    <row r="693" spans="3:78" ht="12.75">
      <c r="C693" s="1"/>
      <c r="D693" s="36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36"/>
      <c r="AJ693" s="36"/>
      <c r="AK693" s="1"/>
      <c r="AL693" s="36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Z693" s="36"/>
    </row>
    <row r="694" spans="3:78" ht="12.75">
      <c r="C694" s="1"/>
      <c r="D694" s="36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36"/>
      <c r="AJ694" s="36"/>
      <c r="AK694" s="1"/>
      <c r="AL694" s="36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Z694" s="36"/>
    </row>
    <row r="695" spans="3:78" ht="12.75">
      <c r="C695" s="1"/>
      <c r="D695" s="36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36"/>
      <c r="AJ695" s="36"/>
      <c r="AK695" s="1"/>
      <c r="AL695" s="36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Z695" s="36"/>
    </row>
    <row r="696" spans="3:78" ht="12.75">
      <c r="C696" s="1"/>
      <c r="D696" s="36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36"/>
      <c r="AJ696" s="36"/>
      <c r="AK696" s="1"/>
      <c r="AL696" s="36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Z696" s="36"/>
    </row>
    <row r="697" spans="3:78" ht="12.75">
      <c r="C697" s="1"/>
      <c r="D697" s="36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36"/>
      <c r="AJ697" s="36"/>
      <c r="AK697" s="1"/>
      <c r="AL697" s="36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Z697" s="36"/>
    </row>
    <row r="698" spans="3:78" ht="12.75">
      <c r="C698" s="1"/>
      <c r="D698" s="36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36"/>
      <c r="AJ698" s="36"/>
      <c r="AK698" s="1"/>
      <c r="AL698" s="36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Z698" s="36"/>
    </row>
    <row r="699" spans="3:78" ht="12.75">
      <c r="C699" s="1"/>
      <c r="D699" s="36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36"/>
      <c r="AJ699" s="36"/>
      <c r="AK699" s="1"/>
      <c r="AL699" s="36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Z699" s="36"/>
    </row>
    <row r="700" spans="3:78" ht="12.75">
      <c r="C700" s="1"/>
      <c r="D700" s="36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36"/>
      <c r="AJ700" s="36"/>
      <c r="AK700" s="1"/>
      <c r="AL700" s="36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Z700" s="36"/>
    </row>
    <row r="701" spans="3:78" ht="12.75">
      <c r="C701" s="1"/>
      <c r="D701" s="36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36"/>
      <c r="AJ701" s="36"/>
      <c r="AK701" s="1"/>
      <c r="AL701" s="36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Z701" s="36"/>
    </row>
    <row r="702" spans="3:78" ht="12.75">
      <c r="C702" s="1"/>
      <c r="D702" s="36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36"/>
      <c r="AJ702" s="36"/>
      <c r="AK702" s="1"/>
      <c r="AL702" s="36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Z702" s="36"/>
    </row>
    <row r="703" spans="3:78" ht="12.75">
      <c r="C703" s="1"/>
      <c r="D703" s="36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36"/>
      <c r="AJ703" s="36"/>
      <c r="AK703" s="1"/>
      <c r="AL703" s="36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Z703" s="36"/>
    </row>
    <row r="704" spans="3:78" ht="12.75">
      <c r="C704" s="1"/>
      <c r="D704" s="36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36"/>
      <c r="AJ704" s="36"/>
      <c r="AK704" s="1"/>
      <c r="AL704" s="36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Z704" s="36"/>
    </row>
    <row r="705" spans="3:78" ht="12.75">
      <c r="C705" s="1"/>
      <c r="D705" s="36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36"/>
      <c r="AJ705" s="36"/>
      <c r="AK705" s="1"/>
      <c r="AL705" s="36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Z705" s="36"/>
    </row>
    <row r="706" spans="3:78" ht="12.75">
      <c r="C706" s="1"/>
      <c r="D706" s="36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36"/>
      <c r="AJ706" s="36"/>
      <c r="AK706" s="1"/>
      <c r="AL706" s="36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Z706" s="36"/>
    </row>
    <row r="707" spans="3:78" ht="12.75">
      <c r="C707" s="1"/>
      <c r="D707" s="36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36"/>
      <c r="AJ707" s="36"/>
      <c r="AK707" s="1"/>
      <c r="AL707" s="36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Z707" s="36"/>
    </row>
    <row r="708" spans="3:78" ht="12.75">
      <c r="C708" s="1"/>
      <c r="D708" s="36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36"/>
      <c r="AJ708" s="36"/>
      <c r="AK708" s="1"/>
      <c r="AL708" s="36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Z708" s="36"/>
    </row>
    <row r="709" spans="3:78" ht="12.75">
      <c r="C709" s="1"/>
      <c r="D709" s="36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36"/>
      <c r="AJ709" s="36"/>
      <c r="AK709" s="1"/>
      <c r="AL709" s="36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Z709" s="36"/>
    </row>
    <row r="710" spans="3:78" ht="12.75">
      <c r="C710" s="1"/>
      <c r="D710" s="36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36"/>
      <c r="AJ710" s="36"/>
      <c r="AK710" s="1"/>
      <c r="AL710" s="36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Z710" s="36"/>
    </row>
    <row r="711" spans="3:78" ht="12.75">
      <c r="C711" s="1"/>
      <c r="D711" s="36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36"/>
      <c r="AJ711" s="36"/>
      <c r="AK711" s="1"/>
      <c r="AL711" s="36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Z711" s="36"/>
    </row>
    <row r="712" spans="3:78" ht="12.75">
      <c r="C712" s="1"/>
      <c r="D712" s="36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36"/>
      <c r="AJ712" s="36"/>
      <c r="AK712" s="1"/>
      <c r="AL712" s="36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Z712" s="36"/>
    </row>
    <row r="713" spans="3:78" ht="12.75">
      <c r="C713" s="1"/>
      <c r="D713" s="36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36"/>
      <c r="AJ713" s="36"/>
      <c r="AK713" s="1"/>
      <c r="AL713" s="36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Z713" s="36"/>
    </row>
    <row r="714" spans="3:78" ht="12.75">
      <c r="C714" s="1"/>
      <c r="D714" s="36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36"/>
      <c r="AJ714" s="36"/>
      <c r="AK714" s="1"/>
      <c r="AL714" s="36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Z714" s="36"/>
    </row>
    <row r="715" spans="3:78" ht="12.75">
      <c r="C715" s="1"/>
      <c r="D715" s="36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36"/>
      <c r="AJ715" s="36"/>
      <c r="AK715" s="1"/>
      <c r="AL715" s="36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Z715" s="36"/>
    </row>
    <row r="716" spans="3:78" ht="12.75">
      <c r="C716" s="1"/>
      <c r="D716" s="36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36"/>
      <c r="AJ716" s="36"/>
      <c r="AK716" s="1"/>
      <c r="AL716" s="36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Z716" s="36"/>
    </row>
    <row r="717" spans="3:78" ht="12.75">
      <c r="C717" s="1"/>
      <c r="D717" s="36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36"/>
      <c r="AJ717" s="36"/>
      <c r="AK717" s="1"/>
      <c r="AL717" s="36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Z717" s="36"/>
    </row>
    <row r="718" spans="3:78" ht="12.75">
      <c r="C718" s="1"/>
      <c r="D718" s="36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36"/>
      <c r="AJ718" s="36"/>
      <c r="AK718" s="1"/>
      <c r="AL718" s="36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Z718" s="36"/>
    </row>
    <row r="719" spans="3:78" ht="12.75">
      <c r="C719" s="1"/>
      <c r="D719" s="36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36"/>
      <c r="AJ719" s="36"/>
      <c r="AK719" s="1"/>
      <c r="AL719" s="36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Z719" s="36"/>
    </row>
    <row r="720" spans="3:78" ht="12.75">
      <c r="C720" s="1"/>
      <c r="D720" s="36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36"/>
      <c r="AJ720" s="36"/>
      <c r="AK720" s="1"/>
      <c r="AL720" s="36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Z720" s="36"/>
    </row>
    <row r="721" spans="3:78" ht="12.75">
      <c r="C721" s="1"/>
      <c r="D721" s="36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36"/>
      <c r="AJ721" s="36"/>
      <c r="AK721" s="1"/>
      <c r="AL721" s="36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Z721" s="36"/>
    </row>
    <row r="722" spans="3:78" ht="12.75">
      <c r="C722" s="1"/>
      <c r="D722" s="36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36"/>
      <c r="AJ722" s="36"/>
      <c r="AK722" s="1"/>
      <c r="AL722" s="36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Z722" s="36"/>
    </row>
    <row r="723" spans="3:78" ht="12.75">
      <c r="C723" s="1"/>
      <c r="D723" s="36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36"/>
      <c r="AJ723" s="36"/>
      <c r="AK723" s="1"/>
      <c r="AL723" s="36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Z723" s="36"/>
    </row>
    <row r="724" spans="3:78" ht="12.75">
      <c r="C724" s="1"/>
      <c r="D724" s="36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36"/>
      <c r="AJ724" s="36"/>
      <c r="AK724" s="1"/>
      <c r="AL724" s="36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Z724" s="36"/>
    </row>
    <row r="725" spans="3:78" ht="12.75">
      <c r="C725" s="1"/>
      <c r="D725" s="36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36"/>
      <c r="AJ725" s="36"/>
      <c r="AK725" s="1"/>
      <c r="AL725" s="36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Z725" s="36"/>
    </row>
    <row r="726" spans="3:78" ht="12.75">
      <c r="C726" s="1"/>
      <c r="D726" s="36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36"/>
      <c r="AJ726" s="36"/>
      <c r="AK726" s="1"/>
      <c r="AL726" s="36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Z726" s="36"/>
    </row>
    <row r="727" spans="3:78" ht="12.75">
      <c r="C727" s="1"/>
      <c r="D727" s="36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36"/>
      <c r="AJ727" s="36"/>
      <c r="AK727" s="1"/>
      <c r="AL727" s="36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Z727" s="36"/>
    </row>
    <row r="728" spans="3:78" ht="12.75">
      <c r="C728" s="1"/>
      <c r="D728" s="36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36"/>
      <c r="AJ728" s="36"/>
      <c r="AK728" s="1"/>
      <c r="AL728" s="36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Z728" s="36"/>
    </row>
    <row r="729" spans="3:78" ht="12.75">
      <c r="C729" s="1"/>
      <c r="D729" s="36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36"/>
      <c r="AJ729" s="36"/>
      <c r="AK729" s="1"/>
      <c r="AL729" s="36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Z729" s="36"/>
    </row>
    <row r="730" spans="3:78" ht="12.75">
      <c r="C730" s="1"/>
      <c r="D730" s="36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36"/>
      <c r="AJ730" s="36"/>
      <c r="AK730" s="1"/>
      <c r="AL730" s="36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Z730" s="36"/>
    </row>
    <row r="731" spans="3:78" ht="12.75">
      <c r="C731" s="1"/>
      <c r="D731" s="36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36"/>
      <c r="AJ731" s="36"/>
      <c r="AK731" s="1"/>
      <c r="AL731" s="36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Z731" s="36"/>
    </row>
    <row r="732" spans="3:78" ht="12.75">
      <c r="C732" s="1"/>
      <c r="D732" s="36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36"/>
      <c r="AJ732" s="36"/>
      <c r="AK732" s="1"/>
      <c r="AL732" s="36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Z732" s="36"/>
    </row>
    <row r="733" spans="3:78" ht="12.75">
      <c r="C733" s="1"/>
      <c r="D733" s="36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36"/>
      <c r="AJ733" s="36"/>
      <c r="AK733" s="1"/>
      <c r="AL733" s="36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Z733" s="36"/>
    </row>
    <row r="734" spans="3:78" ht="12.75">
      <c r="C734" s="1"/>
      <c r="D734" s="36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36"/>
      <c r="AJ734" s="36"/>
      <c r="AK734" s="1"/>
      <c r="AL734" s="36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Z734" s="36"/>
    </row>
    <row r="735" spans="3:78" ht="12.75">
      <c r="C735" s="1"/>
      <c r="D735" s="36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36"/>
      <c r="AJ735" s="36"/>
      <c r="AK735" s="1"/>
      <c r="AL735" s="36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Z735" s="36"/>
    </row>
    <row r="736" spans="3:78" ht="12.75">
      <c r="C736" s="1"/>
      <c r="D736" s="36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36"/>
      <c r="AJ736" s="36"/>
      <c r="AK736" s="1"/>
      <c r="AL736" s="36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Z736" s="36"/>
    </row>
    <row r="737" spans="3:78" ht="12.75">
      <c r="C737" s="1"/>
      <c r="D737" s="36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36"/>
      <c r="AJ737" s="36"/>
      <c r="AK737" s="1"/>
      <c r="AL737" s="36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Z737" s="36"/>
    </row>
    <row r="738" spans="3:78" ht="12.75">
      <c r="C738" s="1"/>
      <c r="D738" s="36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36"/>
      <c r="AJ738" s="36"/>
      <c r="AK738" s="1"/>
      <c r="AL738" s="36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Z738" s="36"/>
    </row>
    <row r="739" spans="3:78" ht="12.75">
      <c r="C739" s="1"/>
      <c r="D739" s="36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36"/>
      <c r="AJ739" s="36"/>
      <c r="AK739" s="1"/>
      <c r="AL739" s="36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Z739" s="36"/>
    </row>
    <row r="740" spans="3:78" ht="12.75">
      <c r="C740" s="1"/>
      <c r="D740" s="36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36"/>
      <c r="AJ740" s="36"/>
      <c r="AK740" s="1"/>
      <c r="AL740" s="36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Z740" s="36"/>
    </row>
    <row r="741" spans="3:78" ht="12.75">
      <c r="C741" s="1"/>
      <c r="D741" s="36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36"/>
      <c r="AJ741" s="36"/>
      <c r="AK741" s="1"/>
      <c r="AL741" s="36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Z741" s="36"/>
    </row>
    <row r="742" spans="3:78" ht="12.75">
      <c r="C742" s="1"/>
      <c r="D742" s="36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36"/>
      <c r="AJ742" s="36"/>
      <c r="AK742" s="1"/>
      <c r="AL742" s="36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Z742" s="36"/>
    </row>
    <row r="743" spans="3:78" ht="12.75">
      <c r="C743" s="1"/>
      <c r="D743" s="36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36"/>
      <c r="AJ743" s="36"/>
      <c r="AK743" s="1"/>
      <c r="AL743" s="36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Z743" s="36"/>
    </row>
    <row r="744" spans="3:78" ht="12.75">
      <c r="C744" s="1"/>
      <c r="D744" s="36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36"/>
      <c r="AJ744" s="36"/>
      <c r="AK744" s="1"/>
      <c r="AL744" s="36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Z744" s="36"/>
    </row>
    <row r="745" spans="3:78" ht="12.75">
      <c r="C745" s="1"/>
      <c r="D745" s="36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36"/>
      <c r="AJ745" s="36"/>
      <c r="AK745" s="1"/>
      <c r="AL745" s="36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Z745" s="36"/>
    </row>
    <row r="746" spans="3:78" ht="12.75">
      <c r="C746" s="1"/>
      <c r="D746" s="36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36"/>
      <c r="AJ746" s="36"/>
      <c r="AK746" s="1"/>
      <c r="AL746" s="36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Z746" s="36"/>
    </row>
    <row r="747" spans="3:78" ht="12.75">
      <c r="C747" s="1"/>
      <c r="D747" s="36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36"/>
      <c r="AJ747" s="36"/>
      <c r="AK747" s="1"/>
      <c r="AL747" s="36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Z747" s="36"/>
    </row>
    <row r="748" spans="3:78" ht="12.75">
      <c r="C748" s="1"/>
      <c r="D748" s="36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36"/>
      <c r="AJ748" s="36"/>
      <c r="AK748" s="1"/>
      <c r="AL748" s="36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Z748" s="36"/>
    </row>
    <row r="749" spans="3:78" ht="12.75">
      <c r="C749" s="1"/>
      <c r="D749" s="36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36"/>
      <c r="AJ749" s="36"/>
      <c r="AK749" s="1"/>
      <c r="AL749" s="36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Z749" s="36"/>
    </row>
    <row r="750" spans="3:78" ht="12.75">
      <c r="C750" s="1"/>
      <c r="D750" s="36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36"/>
      <c r="AJ750" s="36"/>
      <c r="AK750" s="1"/>
      <c r="AL750" s="36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Z750" s="36"/>
    </row>
    <row r="751" spans="3:78" ht="12.75">
      <c r="C751" s="1"/>
      <c r="D751" s="36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36"/>
      <c r="AJ751" s="36"/>
      <c r="AK751" s="1"/>
      <c r="AL751" s="36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Z751" s="36"/>
    </row>
    <row r="752" spans="3:78" ht="12.75">
      <c r="C752" s="1"/>
      <c r="D752" s="36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36"/>
      <c r="AJ752" s="36"/>
      <c r="AK752" s="1"/>
      <c r="AL752" s="36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Z752" s="36"/>
    </row>
    <row r="753" spans="3:78" ht="12.75">
      <c r="C753" s="1"/>
      <c r="D753" s="36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36"/>
      <c r="AJ753" s="36"/>
      <c r="AK753" s="1"/>
      <c r="AL753" s="36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Z753" s="36"/>
    </row>
    <row r="754" spans="3:78" ht="12.75">
      <c r="C754" s="1"/>
      <c r="D754" s="36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36"/>
      <c r="AJ754" s="36"/>
      <c r="AK754" s="1"/>
      <c r="AL754" s="36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Z754" s="36"/>
    </row>
    <row r="755" spans="3:78" ht="12.75">
      <c r="C755" s="1"/>
      <c r="D755" s="36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36"/>
      <c r="AJ755" s="36"/>
      <c r="AK755" s="1"/>
      <c r="AL755" s="36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Z755" s="36"/>
    </row>
    <row r="756" spans="3:78" ht="12.75">
      <c r="C756" s="1"/>
      <c r="D756" s="36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36"/>
      <c r="AJ756" s="36"/>
      <c r="AK756" s="1"/>
      <c r="AL756" s="36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Z756" s="36"/>
    </row>
    <row r="757" spans="3:78" ht="12.75">
      <c r="C757" s="1"/>
      <c r="D757" s="36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36"/>
      <c r="AJ757" s="36"/>
      <c r="AK757" s="1"/>
      <c r="AL757" s="36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Z757" s="36"/>
    </row>
    <row r="758" spans="3:78" ht="12.75">
      <c r="C758" s="1"/>
      <c r="D758" s="36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36"/>
      <c r="AJ758" s="36"/>
      <c r="AK758" s="1"/>
      <c r="AL758" s="36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Z758" s="36"/>
    </row>
    <row r="759" spans="3:78" ht="12.75">
      <c r="C759" s="1"/>
      <c r="D759" s="36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36"/>
      <c r="AJ759" s="36"/>
      <c r="AK759" s="1"/>
      <c r="AL759" s="36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Z759" s="36"/>
    </row>
    <row r="760" spans="3:78" ht="12.75">
      <c r="C760" s="1"/>
      <c r="D760" s="36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36"/>
      <c r="AJ760" s="36"/>
      <c r="AK760" s="1"/>
      <c r="AL760" s="36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Z760" s="36"/>
    </row>
    <row r="761" spans="3:78" ht="12.75">
      <c r="C761" s="1"/>
      <c r="D761" s="36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36"/>
      <c r="AJ761" s="36"/>
      <c r="AK761" s="1"/>
      <c r="AL761" s="36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Z761" s="36"/>
    </row>
    <row r="762" spans="3:78" ht="12.75">
      <c r="C762" s="1"/>
      <c r="D762" s="36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36"/>
      <c r="AJ762" s="36"/>
      <c r="AK762" s="1"/>
      <c r="AL762" s="36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Z762" s="36"/>
    </row>
    <row r="763" spans="3:78" ht="12.75">
      <c r="C763" s="1"/>
      <c r="D763" s="36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36"/>
      <c r="AJ763" s="36"/>
      <c r="AK763" s="1"/>
      <c r="AL763" s="36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Z763" s="36"/>
    </row>
    <row r="764" spans="3:78" ht="12.75">
      <c r="C764" s="1"/>
      <c r="D764" s="36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36"/>
      <c r="AJ764" s="36"/>
      <c r="AK764" s="1"/>
      <c r="AL764" s="36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Z764" s="36"/>
    </row>
    <row r="765" spans="3:78" ht="12.75">
      <c r="C765" s="1"/>
      <c r="D765" s="36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36"/>
      <c r="AJ765" s="36"/>
      <c r="AK765" s="1"/>
      <c r="AL765" s="36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Z765" s="36"/>
    </row>
    <row r="766" spans="3:78" ht="12.75">
      <c r="C766" s="1"/>
      <c r="D766" s="36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36"/>
      <c r="AJ766" s="36"/>
      <c r="AK766" s="1"/>
      <c r="AL766" s="36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Z766" s="36"/>
    </row>
    <row r="767" spans="3:78" ht="12.75">
      <c r="C767" s="1"/>
      <c r="D767" s="36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36"/>
      <c r="AJ767" s="36"/>
      <c r="AK767" s="1"/>
      <c r="AL767" s="36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Z767" s="36"/>
    </row>
    <row r="768" spans="3:78" ht="12.75">
      <c r="C768" s="1"/>
      <c r="D768" s="36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36"/>
      <c r="AJ768" s="36"/>
      <c r="AK768" s="1"/>
      <c r="AL768" s="36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Z768" s="36"/>
    </row>
    <row r="769" spans="3:78" ht="12.75">
      <c r="C769" s="1"/>
      <c r="D769" s="36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36"/>
      <c r="AJ769" s="36"/>
      <c r="AK769" s="1"/>
      <c r="AL769" s="36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Z769" s="36"/>
    </row>
    <row r="770" spans="3:78" ht="12.75">
      <c r="C770" s="1"/>
      <c r="D770" s="36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36"/>
      <c r="AJ770" s="36"/>
      <c r="AK770" s="1"/>
      <c r="AL770" s="36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Z770" s="36"/>
    </row>
    <row r="771" spans="3:78" ht="12.75">
      <c r="C771" s="1"/>
      <c r="D771" s="36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36"/>
      <c r="AJ771" s="36"/>
      <c r="AK771" s="1"/>
      <c r="AL771" s="36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Z771" s="36"/>
    </row>
    <row r="772" spans="3:78" ht="12.75">
      <c r="C772" s="1"/>
      <c r="D772" s="36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36"/>
      <c r="AJ772" s="36"/>
      <c r="AK772" s="1"/>
      <c r="AL772" s="36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Z772" s="36"/>
    </row>
    <row r="773" spans="3:78" ht="12.75">
      <c r="C773" s="1"/>
      <c r="D773" s="36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36"/>
      <c r="AJ773" s="36"/>
      <c r="AK773" s="1"/>
      <c r="AL773" s="36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Z773" s="36"/>
    </row>
    <row r="774" spans="3:78" ht="12.75">
      <c r="C774" s="1"/>
      <c r="D774" s="36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36"/>
      <c r="AJ774" s="36"/>
      <c r="AK774" s="1"/>
      <c r="AL774" s="36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Z774" s="36"/>
    </row>
    <row r="775" spans="3:78" ht="12.75">
      <c r="C775" s="1"/>
      <c r="D775" s="36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36"/>
      <c r="AJ775" s="36"/>
      <c r="AK775" s="1"/>
      <c r="AL775" s="36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Z775" s="36"/>
    </row>
    <row r="776" spans="3:78" ht="12.75">
      <c r="C776" s="1"/>
      <c r="D776" s="36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36"/>
      <c r="AJ776" s="36"/>
      <c r="AK776" s="1"/>
      <c r="AL776" s="36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Z776" s="36"/>
    </row>
    <row r="777" spans="3:78" ht="12.75">
      <c r="C777" s="1"/>
      <c r="D777" s="36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36"/>
      <c r="AJ777" s="36"/>
      <c r="AK777" s="1"/>
      <c r="AL777" s="36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Z777" s="36"/>
    </row>
    <row r="778" spans="3:78" ht="12.75">
      <c r="C778" s="1"/>
      <c r="D778" s="36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36"/>
      <c r="AJ778" s="36"/>
      <c r="AK778" s="1"/>
      <c r="AL778" s="36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Z778" s="36"/>
    </row>
    <row r="779" spans="3:78" ht="12.75">
      <c r="C779" s="1"/>
      <c r="D779" s="36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36"/>
      <c r="AJ779" s="36"/>
      <c r="AK779" s="1"/>
      <c r="AL779" s="36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Z779" s="36"/>
    </row>
    <row r="780" spans="3:78" ht="12.75">
      <c r="C780" s="1"/>
      <c r="D780" s="36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36"/>
      <c r="AJ780" s="36"/>
      <c r="AK780" s="1"/>
      <c r="AL780" s="36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Z780" s="36"/>
    </row>
    <row r="781" spans="3:78" ht="12.75">
      <c r="C781" s="1"/>
      <c r="D781" s="36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36"/>
      <c r="AJ781" s="36"/>
      <c r="AK781" s="1"/>
      <c r="AL781" s="36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Z781" s="36"/>
    </row>
    <row r="782" spans="3:78" ht="12.75">
      <c r="C782" s="1"/>
      <c r="D782" s="36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36"/>
      <c r="AJ782" s="36"/>
      <c r="AK782" s="1"/>
      <c r="AL782" s="36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Z782" s="36"/>
    </row>
    <row r="783" spans="3:78" ht="12.75">
      <c r="C783" s="1"/>
      <c r="D783" s="36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36"/>
      <c r="AJ783" s="36"/>
      <c r="AK783" s="1"/>
      <c r="AL783" s="36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Z783" s="36"/>
    </row>
    <row r="784" spans="3:78" ht="12.75">
      <c r="C784" s="1"/>
      <c r="D784" s="36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36"/>
      <c r="AJ784" s="36"/>
      <c r="AK784" s="1"/>
      <c r="AL784" s="36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Z784" s="36"/>
    </row>
    <row r="785" spans="3:78" ht="12.75">
      <c r="C785" s="1"/>
      <c r="D785" s="36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36"/>
      <c r="AJ785" s="36"/>
      <c r="AK785" s="1"/>
      <c r="AL785" s="36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Z785" s="36"/>
    </row>
    <row r="786" spans="3:78" ht="12.75">
      <c r="C786" s="1"/>
      <c r="D786" s="36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36"/>
      <c r="AJ786" s="36"/>
      <c r="AK786" s="1"/>
      <c r="AL786" s="36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Z786" s="36"/>
    </row>
    <row r="787" spans="3:78" ht="12.75">
      <c r="C787" s="1"/>
      <c r="D787" s="36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36"/>
      <c r="AJ787" s="36"/>
      <c r="AK787" s="1"/>
      <c r="AL787" s="36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Z787" s="36"/>
    </row>
    <row r="788" spans="3:78" ht="12.75">
      <c r="C788" s="1"/>
      <c r="D788" s="36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36"/>
      <c r="AJ788" s="36"/>
      <c r="AK788" s="1"/>
      <c r="AL788" s="36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Z788" s="36"/>
    </row>
    <row r="789" spans="3:78" ht="12.75">
      <c r="C789" s="1"/>
      <c r="D789" s="36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36"/>
      <c r="AJ789" s="36"/>
      <c r="AK789" s="1"/>
      <c r="AL789" s="36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Z789" s="36"/>
    </row>
    <row r="790" spans="3:78" ht="12.75">
      <c r="C790" s="1"/>
      <c r="D790" s="36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36"/>
      <c r="AJ790" s="36"/>
      <c r="AK790" s="1"/>
      <c r="AL790" s="36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Z790" s="36"/>
    </row>
    <row r="791" spans="3:78" ht="12.75">
      <c r="C791" s="1"/>
      <c r="D791" s="36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36"/>
      <c r="AJ791" s="36"/>
      <c r="AK791" s="1"/>
      <c r="AL791" s="36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Z791" s="36"/>
    </row>
    <row r="792" spans="3:78" ht="12.75">
      <c r="C792" s="1"/>
      <c r="D792" s="36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36"/>
      <c r="AJ792" s="36"/>
      <c r="AK792" s="1"/>
      <c r="AL792" s="36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Z792" s="36"/>
    </row>
    <row r="793" spans="3:78" ht="12.75">
      <c r="C793" s="1"/>
      <c r="D793" s="36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36"/>
      <c r="AJ793" s="36"/>
      <c r="AK793" s="1"/>
      <c r="AL793" s="36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Z793" s="36"/>
    </row>
    <row r="794" spans="3:78" ht="12.75">
      <c r="C794" s="1"/>
      <c r="D794" s="36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36"/>
      <c r="AJ794" s="36"/>
      <c r="AK794" s="1"/>
      <c r="AL794" s="36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Z794" s="36"/>
    </row>
    <row r="795" spans="3:78" ht="12.75">
      <c r="C795" s="1"/>
      <c r="D795" s="36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36"/>
      <c r="AJ795" s="36"/>
      <c r="AK795" s="1"/>
      <c r="AL795" s="36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Z795" s="36"/>
    </row>
    <row r="796" spans="3:78" ht="12.75">
      <c r="C796" s="1"/>
      <c r="D796" s="36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36"/>
      <c r="AJ796" s="36"/>
      <c r="AK796" s="1"/>
      <c r="AL796" s="36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Z796" s="36"/>
    </row>
    <row r="797" spans="3:78" ht="12.75">
      <c r="C797" s="1"/>
      <c r="D797" s="36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36"/>
      <c r="AJ797" s="36"/>
      <c r="AK797" s="1"/>
      <c r="AL797" s="36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Z797" s="36"/>
    </row>
    <row r="798" spans="3:78" ht="12.75">
      <c r="C798" s="1"/>
      <c r="D798" s="36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36"/>
      <c r="AJ798" s="36"/>
      <c r="AK798" s="1"/>
      <c r="AL798" s="36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Z798" s="36"/>
    </row>
    <row r="799" spans="3:78" ht="12.75">
      <c r="C799" s="1"/>
      <c r="D799" s="36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36"/>
      <c r="AJ799" s="36"/>
      <c r="AK799" s="1"/>
      <c r="AL799" s="36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Z799" s="36"/>
    </row>
    <row r="800" spans="3:78" ht="12.75">
      <c r="C800" s="1"/>
      <c r="D800" s="36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36"/>
      <c r="AJ800" s="36"/>
      <c r="AK800" s="1"/>
      <c r="AL800" s="36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Z800" s="36"/>
    </row>
    <row r="801" spans="3:78" ht="12.75">
      <c r="C801" s="1"/>
      <c r="D801" s="36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36"/>
      <c r="AJ801" s="36"/>
      <c r="AK801" s="1"/>
      <c r="AL801" s="36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Z801" s="36"/>
    </row>
    <row r="802" spans="3:78" ht="12.75">
      <c r="C802" s="1"/>
      <c r="D802" s="36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36"/>
      <c r="AJ802" s="36"/>
      <c r="AK802" s="1"/>
      <c r="AL802" s="36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Z802" s="36"/>
    </row>
    <row r="803" spans="3:78" ht="12.75">
      <c r="C803" s="1"/>
      <c r="D803" s="36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36"/>
      <c r="AJ803" s="36"/>
      <c r="AK803" s="1"/>
      <c r="AL803" s="36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Z803" s="36"/>
    </row>
    <row r="804" spans="3:78" ht="12.75">
      <c r="C804" s="1"/>
      <c r="D804" s="36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36"/>
      <c r="AJ804" s="36"/>
      <c r="AK804" s="1"/>
      <c r="AL804" s="36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Z804" s="36"/>
    </row>
    <row r="805" spans="3:78" ht="12.75">
      <c r="C805" s="1"/>
      <c r="D805" s="36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36"/>
      <c r="AJ805" s="36"/>
      <c r="AK805" s="1"/>
      <c r="AL805" s="36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Z805" s="36"/>
    </row>
    <row r="806" spans="3:78" ht="12.75">
      <c r="C806" s="1"/>
      <c r="D806" s="36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36"/>
      <c r="AJ806" s="36"/>
      <c r="AK806" s="1"/>
      <c r="AL806" s="36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Z806" s="36"/>
    </row>
    <row r="807" spans="3:78" ht="12.75">
      <c r="C807" s="1"/>
      <c r="D807" s="36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36"/>
      <c r="AJ807" s="36"/>
      <c r="AK807" s="1"/>
      <c r="AL807" s="36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Z807" s="36"/>
    </row>
    <row r="808" spans="3:78" ht="12.75">
      <c r="C808" s="1"/>
      <c r="D808" s="36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36"/>
      <c r="AJ808" s="36"/>
      <c r="AK808" s="1"/>
      <c r="AL808" s="36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Z808" s="36"/>
    </row>
    <row r="809" spans="3:78" ht="12.75">
      <c r="C809" s="1"/>
      <c r="D809" s="36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36"/>
      <c r="AJ809" s="36"/>
      <c r="AK809" s="1"/>
      <c r="AL809" s="36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Z809" s="36"/>
    </row>
    <row r="810" spans="3:78" ht="12.75">
      <c r="C810" s="1"/>
      <c r="D810" s="36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36"/>
      <c r="AJ810" s="36"/>
      <c r="AK810" s="1"/>
      <c r="AL810" s="36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Z810" s="36"/>
    </row>
    <row r="811" spans="3:78" ht="12.75">
      <c r="C811" s="1"/>
      <c r="D811" s="36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36"/>
      <c r="AJ811" s="36"/>
      <c r="AK811" s="1"/>
      <c r="AL811" s="36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Z811" s="36"/>
    </row>
    <row r="812" spans="3:78" ht="12.75">
      <c r="C812" s="1"/>
      <c r="D812" s="36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36"/>
      <c r="AJ812" s="36"/>
      <c r="AK812" s="1"/>
      <c r="AL812" s="36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Z812" s="36"/>
    </row>
    <row r="813" spans="3:78" ht="12.75">
      <c r="C813" s="1"/>
      <c r="D813" s="36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36"/>
      <c r="AJ813" s="36"/>
      <c r="AK813" s="1"/>
      <c r="AL813" s="36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Z813" s="36"/>
    </row>
    <row r="814" spans="3:78" ht="12.75">
      <c r="C814" s="1"/>
      <c r="D814" s="36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36"/>
      <c r="AJ814" s="36"/>
      <c r="AK814" s="1"/>
      <c r="AL814" s="36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Z814" s="36"/>
    </row>
    <row r="815" spans="3:78" ht="12.75">
      <c r="C815" s="1"/>
      <c r="D815" s="36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36"/>
      <c r="AJ815" s="36"/>
      <c r="AK815" s="1"/>
      <c r="AL815" s="36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Z815" s="36"/>
    </row>
    <row r="816" spans="3:78" ht="12.75">
      <c r="C816" s="1"/>
      <c r="D816" s="36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36"/>
      <c r="AJ816" s="36"/>
      <c r="AK816" s="1"/>
      <c r="AL816" s="36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Z816" s="36"/>
    </row>
    <row r="817" spans="3:78" ht="12.75">
      <c r="C817" s="1"/>
      <c r="D817" s="36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36"/>
      <c r="AJ817" s="36"/>
      <c r="AK817" s="1"/>
      <c r="AL817" s="36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Z817" s="36"/>
    </row>
    <row r="818" spans="3:78" ht="12.75">
      <c r="C818" s="1"/>
      <c r="D818" s="36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36"/>
      <c r="AJ818" s="36"/>
      <c r="AK818" s="1"/>
      <c r="AL818" s="36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Z818" s="36"/>
    </row>
    <row r="819" spans="3:78" ht="12.75">
      <c r="C819" s="1"/>
      <c r="D819" s="36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36"/>
      <c r="AJ819" s="36"/>
      <c r="AK819" s="1"/>
      <c r="AL819" s="36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Z819" s="36"/>
    </row>
    <row r="820" spans="3:78" ht="12.75">
      <c r="C820" s="1"/>
      <c r="D820" s="36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36"/>
      <c r="AJ820" s="36"/>
      <c r="AK820" s="1"/>
      <c r="AL820" s="36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Z820" s="36"/>
    </row>
    <row r="821" spans="3:78" ht="12.75">
      <c r="C821" s="1"/>
      <c r="D821" s="36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36"/>
      <c r="AJ821" s="36"/>
      <c r="AK821" s="1"/>
      <c r="AL821" s="36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Z821" s="36"/>
    </row>
    <row r="822" spans="3:78" ht="12.75">
      <c r="C822" s="1"/>
      <c r="D822" s="36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36"/>
      <c r="AJ822" s="36"/>
      <c r="AK822" s="1"/>
      <c r="AL822" s="36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Z822" s="36"/>
    </row>
    <row r="823" spans="3:78" ht="12.75">
      <c r="C823" s="1"/>
      <c r="D823" s="36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36"/>
      <c r="AJ823" s="36"/>
      <c r="AK823" s="1"/>
      <c r="AL823" s="36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Z823" s="36"/>
    </row>
    <row r="824" spans="3:78" ht="12.75">
      <c r="C824" s="1"/>
      <c r="D824" s="36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36"/>
      <c r="AJ824" s="36"/>
      <c r="AK824" s="1"/>
      <c r="AL824" s="36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Z824" s="36"/>
    </row>
    <row r="825" spans="3:78" ht="12.75">
      <c r="C825" s="1"/>
      <c r="D825" s="36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36"/>
      <c r="AJ825" s="36"/>
      <c r="AK825" s="1"/>
      <c r="AL825" s="36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Z825" s="36"/>
    </row>
    <row r="826" spans="3:78" ht="12.75">
      <c r="C826" s="1"/>
      <c r="D826" s="36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36"/>
      <c r="AJ826" s="36"/>
      <c r="AK826" s="1"/>
      <c r="AL826" s="36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Z826" s="36"/>
    </row>
    <row r="827" spans="3:78" ht="12.75">
      <c r="C827" s="1"/>
      <c r="D827" s="36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36"/>
      <c r="AJ827" s="36"/>
      <c r="AK827" s="1"/>
      <c r="AL827" s="36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Z827" s="36"/>
    </row>
    <row r="828" spans="3:78" ht="12.75">
      <c r="C828" s="1"/>
      <c r="D828" s="36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36"/>
      <c r="AJ828" s="36"/>
      <c r="AK828" s="1"/>
      <c r="AL828" s="36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Z828" s="36"/>
    </row>
    <row r="829" spans="3:78" ht="12.75">
      <c r="C829" s="1"/>
      <c r="D829" s="36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36"/>
      <c r="AJ829" s="36"/>
      <c r="AK829" s="1"/>
      <c r="AL829" s="36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Z829" s="36"/>
    </row>
    <row r="830" spans="3:78" ht="12.75">
      <c r="C830" s="1"/>
      <c r="D830" s="36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36"/>
      <c r="AJ830" s="36"/>
      <c r="AK830" s="1"/>
      <c r="AL830" s="36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Z830" s="36"/>
    </row>
    <row r="831" spans="3:78" ht="12.75">
      <c r="C831" s="1"/>
      <c r="D831" s="36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36"/>
      <c r="AJ831" s="36"/>
      <c r="AK831" s="1"/>
      <c r="AL831" s="36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Z831" s="36"/>
    </row>
    <row r="832" spans="3:78" ht="12.75">
      <c r="C832" s="1"/>
      <c r="D832" s="36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36"/>
      <c r="AJ832" s="36"/>
      <c r="AK832" s="1"/>
      <c r="AL832" s="36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Z832" s="36"/>
    </row>
    <row r="833" spans="3:78" ht="12.75">
      <c r="C833" s="1"/>
      <c r="D833" s="36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36"/>
      <c r="AJ833" s="36"/>
      <c r="AK833" s="1"/>
      <c r="AL833" s="36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Z833" s="36"/>
    </row>
    <row r="834" spans="3:78" ht="12.75">
      <c r="C834" s="1"/>
      <c r="D834" s="36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36"/>
      <c r="AJ834" s="36"/>
      <c r="AK834" s="1"/>
      <c r="AL834" s="36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Z834" s="36"/>
    </row>
    <row r="835" spans="3:78" ht="12.75">
      <c r="C835" s="1"/>
      <c r="D835" s="36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36"/>
      <c r="AJ835" s="36"/>
      <c r="AK835" s="1"/>
      <c r="AL835" s="36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Z835" s="36"/>
    </row>
    <row r="836" spans="3:78" ht="12.75">
      <c r="C836" s="1"/>
      <c r="D836" s="36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36"/>
      <c r="AJ836" s="36"/>
      <c r="AK836" s="1"/>
      <c r="AL836" s="36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Z836" s="36"/>
    </row>
    <row r="837" spans="3:78" ht="12.75">
      <c r="C837" s="1"/>
      <c r="D837" s="36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36"/>
      <c r="AJ837" s="36"/>
      <c r="AK837" s="1"/>
      <c r="AL837" s="36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Z837" s="36"/>
    </row>
    <row r="838" spans="3:78" ht="12.75">
      <c r="C838" s="1"/>
      <c r="D838" s="36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36"/>
      <c r="AJ838" s="36"/>
      <c r="AK838" s="1"/>
      <c r="AL838" s="36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Z838" s="36"/>
    </row>
    <row r="839" spans="3:78" ht="12.75">
      <c r="C839" s="1"/>
      <c r="D839" s="36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36"/>
      <c r="AJ839" s="36"/>
      <c r="AK839" s="1"/>
      <c r="AL839" s="36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Z839" s="36"/>
    </row>
    <row r="840" spans="3:78" ht="12.75">
      <c r="C840" s="1"/>
      <c r="D840" s="36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36"/>
      <c r="AJ840" s="36"/>
      <c r="AK840" s="1"/>
      <c r="AL840" s="36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Z840" s="36"/>
    </row>
    <row r="841" spans="3:78" ht="12.75">
      <c r="C841" s="1"/>
      <c r="D841" s="36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36"/>
      <c r="AJ841" s="36"/>
      <c r="AK841" s="1"/>
      <c r="AL841" s="36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Z841" s="36"/>
    </row>
    <row r="842" spans="3:78" ht="12.75">
      <c r="C842" s="1"/>
      <c r="D842" s="36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36"/>
      <c r="AJ842" s="36"/>
      <c r="AK842" s="1"/>
      <c r="AL842" s="36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Z842" s="36"/>
    </row>
    <row r="843" spans="3:78" ht="12.75">
      <c r="C843" s="1"/>
      <c r="D843" s="36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36"/>
      <c r="AJ843" s="36"/>
      <c r="AK843" s="1"/>
      <c r="AL843" s="36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Z843" s="36"/>
    </row>
    <row r="844" spans="3:78" ht="12.75">
      <c r="C844" s="1"/>
      <c r="D844" s="36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36"/>
      <c r="AJ844" s="36"/>
      <c r="AK844" s="1"/>
      <c r="AL844" s="36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Z844" s="36"/>
    </row>
    <row r="845" spans="3:78" ht="12.75">
      <c r="C845" s="1"/>
      <c r="D845" s="36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36"/>
      <c r="AJ845" s="36"/>
      <c r="AK845" s="1"/>
      <c r="AL845" s="36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Z845" s="36"/>
    </row>
    <row r="846" spans="3:78" ht="12.75">
      <c r="C846" s="1"/>
      <c r="D846" s="36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36"/>
      <c r="AJ846" s="36"/>
      <c r="AK846" s="1"/>
      <c r="AL846" s="36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Z846" s="36"/>
    </row>
    <row r="847" spans="3:78" ht="12.75">
      <c r="C847" s="1"/>
      <c r="D847" s="36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36"/>
      <c r="AJ847" s="36"/>
      <c r="AK847" s="1"/>
      <c r="AL847" s="36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Z847" s="36"/>
    </row>
    <row r="848" spans="3:78" ht="12.75">
      <c r="C848" s="1"/>
      <c r="D848" s="36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36"/>
      <c r="AJ848" s="36"/>
      <c r="AK848" s="1"/>
      <c r="AL848" s="36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Z848" s="36"/>
    </row>
    <row r="849" spans="3:78" ht="12.75">
      <c r="C849" s="1"/>
      <c r="D849" s="36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36"/>
      <c r="AJ849" s="36"/>
      <c r="AK849" s="1"/>
      <c r="AL849" s="36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Z849" s="36"/>
    </row>
    <row r="850" spans="3:78" ht="12.75">
      <c r="C850" s="1"/>
      <c r="D850" s="36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36"/>
      <c r="AJ850" s="36"/>
      <c r="AK850" s="1"/>
      <c r="AL850" s="36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Z850" s="36"/>
    </row>
    <row r="851" spans="3:78" ht="12.75">
      <c r="C851" s="1"/>
      <c r="D851" s="36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36"/>
      <c r="AJ851" s="36"/>
      <c r="AK851" s="1"/>
      <c r="AL851" s="36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Z851" s="36"/>
    </row>
    <row r="852" spans="3:78" ht="12.75">
      <c r="C852" s="1"/>
      <c r="D852" s="36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36"/>
      <c r="AJ852" s="36"/>
      <c r="AK852" s="1"/>
      <c r="AL852" s="36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Z852" s="36"/>
    </row>
    <row r="853" spans="3:78" ht="12.75">
      <c r="C853" s="1"/>
      <c r="D853" s="36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36"/>
      <c r="AJ853" s="36"/>
      <c r="AK853" s="1"/>
      <c r="AL853" s="36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Z853" s="36"/>
    </row>
    <row r="854" spans="3:78" ht="12.75">
      <c r="C854" s="1"/>
      <c r="D854" s="36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36"/>
      <c r="AJ854" s="36"/>
      <c r="AK854" s="1"/>
      <c r="AL854" s="36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Z854" s="36"/>
    </row>
    <row r="855" spans="3:78" ht="12.75">
      <c r="C855" s="1"/>
      <c r="D855" s="36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36"/>
      <c r="AJ855" s="36"/>
      <c r="AK855" s="1"/>
      <c r="AL855" s="36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Z855" s="36"/>
    </row>
    <row r="856" spans="3:78" ht="12.75">
      <c r="C856" s="1"/>
      <c r="D856" s="36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36"/>
      <c r="AJ856" s="36"/>
      <c r="AK856" s="1"/>
      <c r="AL856" s="36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Z856" s="36"/>
    </row>
    <row r="857" spans="3:78" ht="12.75">
      <c r="C857" s="1"/>
      <c r="D857" s="36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36"/>
      <c r="AJ857" s="36"/>
      <c r="AK857" s="1"/>
      <c r="AL857" s="36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Z857" s="36"/>
    </row>
    <row r="858" spans="3:78" ht="12.75">
      <c r="C858" s="1"/>
      <c r="D858" s="36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36"/>
      <c r="AJ858" s="36"/>
      <c r="AK858" s="1"/>
      <c r="AL858" s="36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Z858" s="36"/>
    </row>
    <row r="859" spans="3:78" ht="12.75">
      <c r="C859" s="1"/>
      <c r="D859" s="36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36"/>
      <c r="AJ859" s="36"/>
      <c r="AK859" s="1"/>
      <c r="AL859" s="36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Z859" s="36"/>
    </row>
    <row r="860" spans="3:78" ht="12.75">
      <c r="C860" s="1"/>
      <c r="D860" s="36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36"/>
      <c r="AJ860" s="36"/>
      <c r="AK860" s="1"/>
      <c r="AL860" s="36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Z860" s="36"/>
    </row>
    <row r="861" spans="3:78" ht="12.75">
      <c r="C861" s="1"/>
      <c r="D861" s="36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36"/>
      <c r="AJ861" s="36"/>
      <c r="AK861" s="1"/>
      <c r="AL861" s="36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Z861" s="36"/>
    </row>
    <row r="862" spans="3:78" ht="12.75">
      <c r="C862" s="1"/>
      <c r="D862" s="36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36"/>
      <c r="AJ862" s="36"/>
      <c r="AK862" s="1"/>
      <c r="AL862" s="36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Z862" s="36"/>
    </row>
    <row r="863" spans="3:78" ht="12.75">
      <c r="C863" s="1"/>
      <c r="D863" s="36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36"/>
      <c r="AJ863" s="36"/>
      <c r="AK863" s="1"/>
      <c r="AL863" s="36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Z863" s="36"/>
    </row>
    <row r="864" spans="3:78" ht="12.75">
      <c r="C864" s="1"/>
      <c r="D864" s="36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36"/>
      <c r="AJ864" s="36"/>
      <c r="AK864" s="1"/>
      <c r="AL864" s="36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Z864" s="36"/>
    </row>
    <row r="865" spans="3:78" ht="12.75">
      <c r="C865" s="1"/>
      <c r="D865" s="36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36"/>
      <c r="AJ865" s="36"/>
      <c r="AK865" s="1"/>
      <c r="AL865" s="36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Z865" s="36"/>
    </row>
    <row r="866" spans="3:78" ht="12.75">
      <c r="C866" s="1"/>
      <c r="D866" s="36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36"/>
      <c r="AJ866" s="36"/>
      <c r="AK866" s="1"/>
      <c r="AL866" s="36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Z866" s="36"/>
    </row>
    <row r="867" spans="3:78" ht="12.75">
      <c r="C867" s="1"/>
      <c r="D867" s="36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36"/>
      <c r="AJ867" s="36"/>
      <c r="AK867" s="1"/>
      <c r="AL867" s="36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Z867" s="36"/>
    </row>
    <row r="868" spans="3:78" ht="12.75">
      <c r="C868" s="1"/>
      <c r="D868" s="36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36"/>
      <c r="AJ868" s="36"/>
      <c r="AK868" s="1"/>
      <c r="AL868" s="36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Z868" s="36"/>
    </row>
    <row r="869" spans="3:78" ht="12.75">
      <c r="C869" s="1"/>
      <c r="D869" s="36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36"/>
      <c r="AJ869" s="36"/>
      <c r="AK869" s="1"/>
      <c r="AL869" s="36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Z869" s="36"/>
    </row>
    <row r="870" spans="3:78" ht="12.75">
      <c r="C870" s="1"/>
      <c r="D870" s="36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36"/>
      <c r="AJ870" s="36"/>
      <c r="AK870" s="1"/>
      <c r="AL870" s="36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Z870" s="36"/>
    </row>
    <row r="871" spans="3:78" ht="12.75">
      <c r="C871" s="1"/>
      <c r="D871" s="36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36"/>
      <c r="AJ871" s="36"/>
      <c r="AK871" s="1"/>
      <c r="AL871" s="36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Z871" s="36"/>
    </row>
    <row r="872" spans="3:78" ht="12.75">
      <c r="C872" s="1"/>
      <c r="D872" s="36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36"/>
      <c r="AJ872" s="36"/>
      <c r="AK872" s="1"/>
      <c r="AL872" s="36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Z872" s="36"/>
    </row>
    <row r="873" spans="3:78" ht="12.75">
      <c r="C873" s="1"/>
      <c r="D873" s="36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36"/>
      <c r="AJ873" s="36"/>
      <c r="AK873" s="1"/>
      <c r="AL873" s="36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Z873" s="36"/>
    </row>
    <row r="874" spans="3:78" ht="12.75">
      <c r="C874" s="1"/>
      <c r="D874" s="36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36"/>
      <c r="AJ874" s="36"/>
      <c r="AK874" s="1"/>
      <c r="AL874" s="36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Z874" s="36"/>
    </row>
    <row r="875" spans="3:78" ht="12.75">
      <c r="C875" s="1"/>
      <c r="D875" s="36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36"/>
      <c r="AJ875" s="36"/>
      <c r="AK875" s="1"/>
      <c r="AL875" s="36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Z875" s="36"/>
    </row>
    <row r="876" spans="3:78" ht="12.75">
      <c r="C876" s="1"/>
      <c r="D876" s="36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36"/>
      <c r="AJ876" s="36"/>
      <c r="AK876" s="1"/>
      <c r="AL876" s="36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Z876" s="36"/>
    </row>
    <row r="877" spans="3:78" ht="12.75">
      <c r="C877" s="1"/>
      <c r="D877" s="36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36"/>
      <c r="AJ877" s="36"/>
      <c r="AK877" s="1"/>
      <c r="AL877" s="36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Z877" s="36"/>
    </row>
    <row r="878" spans="3:78" ht="12.75">
      <c r="C878" s="1"/>
      <c r="D878" s="36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36"/>
      <c r="AJ878" s="36"/>
      <c r="AK878" s="1"/>
      <c r="AL878" s="36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Z878" s="36"/>
    </row>
    <row r="879" spans="3:78" ht="12.75">
      <c r="C879" s="1"/>
      <c r="D879" s="36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36"/>
      <c r="AJ879" s="36"/>
      <c r="AK879" s="1"/>
      <c r="AL879" s="36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Z879" s="36"/>
    </row>
    <row r="880" spans="3:78" ht="12.75">
      <c r="C880" s="1"/>
      <c r="D880" s="36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36"/>
      <c r="AJ880" s="36"/>
      <c r="AK880" s="1"/>
      <c r="AL880" s="36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Z880" s="36"/>
    </row>
    <row r="881" spans="3:78" ht="12.75">
      <c r="C881" s="1"/>
      <c r="D881" s="36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36"/>
      <c r="AJ881" s="36"/>
      <c r="AK881" s="1"/>
      <c r="AL881" s="36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Z881" s="36"/>
    </row>
    <row r="882" spans="3:78" ht="12.75">
      <c r="C882" s="1"/>
      <c r="D882" s="36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36"/>
      <c r="AJ882" s="36"/>
      <c r="AK882" s="1"/>
      <c r="AL882" s="36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Z882" s="36"/>
    </row>
    <row r="883" spans="3:78" ht="12.75">
      <c r="C883" s="1"/>
      <c r="D883" s="36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36"/>
      <c r="AJ883" s="36"/>
      <c r="AK883" s="1"/>
      <c r="AL883" s="36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Z883" s="36"/>
    </row>
    <row r="884" spans="3:78" ht="12.75">
      <c r="C884" s="1"/>
      <c r="D884" s="36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36"/>
      <c r="AJ884" s="36"/>
      <c r="AK884" s="1"/>
      <c r="AL884" s="36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Z884" s="36"/>
    </row>
    <row r="885" spans="3:78" ht="12.75">
      <c r="C885" s="1"/>
    </row>
    <row r="886" spans="3:78" ht="12.75">
      <c r="C886" s="1"/>
    </row>
    <row r="887" spans="3:78" ht="12.75">
      <c r="C887" s="1"/>
    </row>
    <row r="888" spans="3:78" ht="12.75">
      <c r="C888" s="1"/>
    </row>
    <row r="889" spans="3:78" ht="12.75">
      <c r="C889" s="1"/>
    </row>
    <row r="890" spans="3:78" ht="12.75">
      <c r="C890" s="1"/>
    </row>
    <row r="891" spans="3:78" ht="12.75">
      <c r="C891" s="1"/>
    </row>
    <row r="892" spans="3:78" ht="12.75">
      <c r="C892" s="1"/>
    </row>
    <row r="893" spans="3:78" ht="12.75">
      <c r="C893" s="1"/>
    </row>
    <row r="894" spans="3:78" ht="12.75">
      <c r="C894" s="1"/>
    </row>
    <row r="895" spans="3:78" ht="12.75">
      <c r="C895" s="1"/>
    </row>
    <row r="896" spans="3:78" ht="12.75">
      <c r="C896" s="1"/>
    </row>
    <row r="897" spans="3:3" ht="12.75">
      <c r="C897" s="1"/>
    </row>
    <row r="898" spans="3:3" ht="12.75">
      <c r="C898" s="1"/>
    </row>
    <row r="899" spans="3:3" ht="12.75">
      <c r="C899" s="1"/>
    </row>
    <row r="900" spans="3:3" ht="12.75">
      <c r="C900" s="1"/>
    </row>
    <row r="901" spans="3:3" ht="12.75">
      <c r="C901" s="1"/>
    </row>
    <row r="902" spans="3:3" ht="12.75">
      <c r="C902" s="1"/>
    </row>
    <row r="903" spans="3:3" ht="12.75">
      <c r="C903" s="1"/>
    </row>
    <row r="904" spans="3:3" ht="12.75">
      <c r="C904" s="1"/>
    </row>
    <row r="905" spans="3:3" ht="12.75">
      <c r="C905" s="1"/>
    </row>
    <row r="906" spans="3:3" ht="12.75">
      <c r="C906" s="1"/>
    </row>
    <row r="907" spans="3:3" ht="12.75">
      <c r="C907" s="1"/>
    </row>
    <row r="908" spans="3:3" ht="12.75">
      <c r="C908" s="1"/>
    </row>
    <row r="909" spans="3:3" ht="12.75">
      <c r="C909" s="1"/>
    </row>
    <row r="910" spans="3:3" ht="12.75">
      <c r="C910" s="1"/>
    </row>
    <row r="911" spans="3:3" ht="12.75">
      <c r="C911" s="1"/>
    </row>
    <row r="912" spans="3:3" ht="12.75">
      <c r="C912" s="1"/>
    </row>
    <row r="913" spans="3:3" ht="12.75">
      <c r="C913" s="1"/>
    </row>
    <row r="914" spans="3:3" ht="12.75">
      <c r="C914" s="1"/>
    </row>
    <row r="915" spans="3:3" ht="12.75">
      <c r="C915" s="1"/>
    </row>
    <row r="916" spans="3:3" ht="12.75">
      <c r="C916" s="1"/>
    </row>
    <row r="917" spans="3:3" ht="12.75">
      <c r="C917" s="1"/>
    </row>
    <row r="918" spans="3:3" ht="12.75">
      <c r="C918" s="1"/>
    </row>
    <row r="919" spans="3:3" ht="12.75">
      <c r="C919" s="1"/>
    </row>
    <row r="920" spans="3:3" ht="12.75">
      <c r="C920" s="1"/>
    </row>
    <row r="921" spans="3:3" ht="12.75">
      <c r="C921" s="1"/>
    </row>
    <row r="922" spans="3:3" ht="12.75">
      <c r="C922" s="1"/>
    </row>
    <row r="923" spans="3:3" ht="12.75">
      <c r="C923" s="1"/>
    </row>
    <row r="924" spans="3:3" ht="12.75">
      <c r="C924" s="1"/>
    </row>
    <row r="925" spans="3:3" ht="12.75">
      <c r="C925" s="1"/>
    </row>
    <row r="926" spans="3:3" ht="12.75">
      <c r="C926" s="1"/>
    </row>
    <row r="927" spans="3:3" ht="12.75">
      <c r="C927" s="1"/>
    </row>
    <row r="928" spans="3:3" ht="12.75">
      <c r="C928" s="1"/>
    </row>
    <row r="929" spans="3:3" ht="12.75">
      <c r="C929" s="1"/>
    </row>
    <row r="930" spans="3:3" ht="12.75">
      <c r="C930" s="1"/>
    </row>
    <row r="931" spans="3:3" ht="12.75">
      <c r="C931" s="1"/>
    </row>
    <row r="932" spans="3:3" ht="12.75">
      <c r="C932" s="1"/>
    </row>
    <row r="933" spans="3:3" ht="12.75">
      <c r="C933" s="1"/>
    </row>
    <row r="934" spans="3:3" ht="12.75">
      <c r="C934" s="1"/>
    </row>
    <row r="935" spans="3:3" ht="12.75">
      <c r="C935" s="1"/>
    </row>
    <row r="936" spans="3:3" ht="12.75">
      <c r="C936" s="1"/>
    </row>
    <row r="937" spans="3:3" ht="12.75">
      <c r="C937" s="1"/>
    </row>
    <row r="938" spans="3:3" ht="12.75">
      <c r="C938" s="1"/>
    </row>
    <row r="939" spans="3:3" ht="12.75">
      <c r="C939" s="1"/>
    </row>
    <row r="940" spans="3:3" ht="12.75">
      <c r="C940" s="1"/>
    </row>
    <row r="941" spans="3:3" ht="12.75">
      <c r="C941" s="1"/>
    </row>
    <row r="942" spans="3:3" ht="12.75">
      <c r="C942" s="1"/>
    </row>
    <row r="943" spans="3:3" ht="12.75">
      <c r="C943" s="1"/>
    </row>
    <row r="944" spans="3:3" ht="12.75">
      <c r="C944" s="1"/>
    </row>
    <row r="945" spans="3:3" ht="12.75">
      <c r="C945" s="1"/>
    </row>
    <row r="946" spans="3:3" ht="12.75">
      <c r="C946" s="1"/>
    </row>
    <row r="947" spans="3:3" ht="12.75">
      <c r="C947" s="1"/>
    </row>
    <row r="948" spans="3:3" ht="12.75">
      <c r="C948" s="1"/>
    </row>
    <row r="949" spans="3:3" ht="12.75">
      <c r="C949" s="1"/>
    </row>
    <row r="950" spans="3:3" ht="12.75">
      <c r="C950" s="1"/>
    </row>
    <row r="951" spans="3:3" ht="12.75">
      <c r="C951" s="1"/>
    </row>
    <row r="952" spans="3:3" ht="12.75">
      <c r="C952" s="1"/>
    </row>
    <row r="953" spans="3:3" ht="12.75">
      <c r="C953" s="1"/>
    </row>
    <row r="954" spans="3:3" ht="12.75">
      <c r="C954" s="1"/>
    </row>
    <row r="955" spans="3:3" ht="12.75">
      <c r="C955" s="1"/>
    </row>
    <row r="956" spans="3:3" ht="12.75">
      <c r="C956" s="1"/>
    </row>
    <row r="957" spans="3:3" ht="12.75">
      <c r="C957" s="1"/>
    </row>
    <row r="958" spans="3:3" ht="12.75">
      <c r="C958" s="1"/>
    </row>
    <row r="959" spans="3:3" ht="12.75">
      <c r="C959" s="1"/>
    </row>
    <row r="960" spans="3:3" ht="12.75">
      <c r="C960" s="1"/>
    </row>
    <row r="961" spans="3:3" ht="12.75">
      <c r="C961" s="1"/>
    </row>
    <row r="962" spans="3:3" ht="12.75">
      <c r="C962" s="1"/>
    </row>
    <row r="963" spans="3:3" ht="12.75">
      <c r="C963" s="1"/>
    </row>
    <row r="964" spans="3:3" ht="12.75">
      <c r="C964" s="1"/>
    </row>
    <row r="965" spans="3:3" ht="12.75">
      <c r="C965" s="1"/>
    </row>
    <row r="966" spans="3:3" ht="12.75">
      <c r="C966" s="1"/>
    </row>
    <row r="967" spans="3:3" ht="12.75">
      <c r="C967" s="1"/>
    </row>
    <row r="968" spans="3:3" ht="12.75">
      <c r="C968" s="1"/>
    </row>
    <row r="969" spans="3:3" ht="12.75">
      <c r="C969" s="1"/>
    </row>
    <row r="970" spans="3:3" ht="12.75">
      <c r="C970" s="1"/>
    </row>
    <row r="971" spans="3:3" ht="12.75">
      <c r="C971" s="1"/>
    </row>
    <row r="972" spans="3:3" ht="12.75">
      <c r="C972" s="1"/>
    </row>
    <row r="973" spans="3:3" ht="12.75">
      <c r="C973" s="1"/>
    </row>
    <row r="974" spans="3:3" ht="12.75">
      <c r="C974" s="1"/>
    </row>
    <row r="975" spans="3:3" ht="12.75">
      <c r="C975" s="1"/>
    </row>
    <row r="976" spans="3:3" ht="12.75">
      <c r="C976" s="1"/>
    </row>
    <row r="977" spans="3:3" ht="12.75">
      <c r="C977" s="1"/>
    </row>
    <row r="978" spans="3:3" ht="12.75">
      <c r="C978" s="1"/>
    </row>
    <row r="979" spans="3:3" ht="12.75">
      <c r="C979" s="1"/>
    </row>
    <row r="980" spans="3:3" ht="12.75">
      <c r="C980" s="1"/>
    </row>
    <row r="981" spans="3:3" ht="12.75">
      <c r="C981" s="1"/>
    </row>
    <row r="982" spans="3:3" ht="12.75">
      <c r="C982" s="1"/>
    </row>
    <row r="983" spans="3:3" ht="12.75">
      <c r="C983" s="1"/>
    </row>
  </sheetData>
  <mergeCells count="86">
    <mergeCell ref="BU2:BY2"/>
    <mergeCell ref="BU3:BY3"/>
    <mergeCell ref="D266:D296"/>
    <mergeCell ref="E266:E296"/>
    <mergeCell ref="F266:F296"/>
    <mergeCell ref="BH53:BK53"/>
    <mergeCell ref="BH54:BK54"/>
    <mergeCell ref="BH55:BK55"/>
    <mergeCell ref="BH79:BK79"/>
    <mergeCell ref="D81:D103"/>
    <mergeCell ref="E81:E103"/>
    <mergeCell ref="F81:F103"/>
    <mergeCell ref="AX102:BB102"/>
    <mergeCell ref="BH103:BK103"/>
    <mergeCell ref="D57:D79"/>
    <mergeCell ref="E57:E79"/>
    <mergeCell ref="AX53:BB53"/>
    <mergeCell ref="AX54:BB54"/>
    <mergeCell ref="AX55:BB55"/>
    <mergeCell ref="AX79:BB79"/>
    <mergeCell ref="D298:D328"/>
    <mergeCell ref="E298:E328"/>
    <mergeCell ref="F298:F328"/>
    <mergeCell ref="D218:D240"/>
    <mergeCell ref="E218:E240"/>
    <mergeCell ref="F218:F240"/>
    <mergeCell ref="D242:D264"/>
    <mergeCell ref="E242:E264"/>
    <mergeCell ref="F242:F264"/>
    <mergeCell ref="AX103:BB103"/>
    <mergeCell ref="D5:D29"/>
    <mergeCell ref="D31:D55"/>
    <mergeCell ref="E31:E55"/>
    <mergeCell ref="F31:F55"/>
    <mergeCell ref="AX51:BB51"/>
    <mergeCell ref="AX52:BB52"/>
    <mergeCell ref="AX25:BB25"/>
    <mergeCell ref="AX26:BB26"/>
    <mergeCell ref="E5:E29"/>
    <mergeCell ref="F5:F29"/>
    <mergeCell ref="AX27:BB27"/>
    <mergeCell ref="AX28:BB28"/>
    <mergeCell ref="AX29:BB29"/>
    <mergeCell ref="F57:F79"/>
    <mergeCell ref="AX78:BB78"/>
    <mergeCell ref="T3:U3"/>
    <mergeCell ref="X3:Y3"/>
    <mergeCell ref="BL3:BN3"/>
    <mergeCell ref="BO3:BQ3"/>
    <mergeCell ref="BH29:BK29"/>
    <mergeCell ref="BH27:BK27"/>
    <mergeCell ref="BH28:BK28"/>
    <mergeCell ref="AF3:AG3"/>
    <mergeCell ref="AH3:AM3"/>
    <mergeCell ref="AN3:AS3"/>
    <mergeCell ref="BR3:BT3"/>
    <mergeCell ref="AT3:AU3"/>
    <mergeCell ref="AV3:AW3"/>
    <mergeCell ref="AX3:BB3"/>
    <mergeCell ref="BC3:BD3"/>
    <mergeCell ref="BE3:BF3"/>
    <mergeCell ref="BH3:BK3"/>
    <mergeCell ref="BL2:BT2"/>
    <mergeCell ref="AF2:AG2"/>
    <mergeCell ref="AH2:AM2"/>
    <mergeCell ref="AN2:AS2"/>
    <mergeCell ref="AT2:AW2"/>
    <mergeCell ref="AX2:BB2"/>
    <mergeCell ref="BC2:BD2"/>
    <mergeCell ref="BE2:BF2"/>
    <mergeCell ref="B60:B63"/>
    <mergeCell ref="B2:B3"/>
    <mergeCell ref="BH2:BK2"/>
    <mergeCell ref="D186:D216"/>
    <mergeCell ref="E186:E216"/>
    <mergeCell ref="F186:F216"/>
    <mergeCell ref="D106:D128"/>
    <mergeCell ref="E106:E128"/>
    <mergeCell ref="F106:F128"/>
    <mergeCell ref="D154:D184"/>
    <mergeCell ref="E154:E184"/>
    <mergeCell ref="F154:F184"/>
    <mergeCell ref="D130:D152"/>
    <mergeCell ref="E130:E152"/>
    <mergeCell ref="F130:F152"/>
    <mergeCell ref="Q3:S3"/>
  </mergeCells>
  <phoneticPr fontId="2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Kruglov</dc:creator>
  <cp:lastModifiedBy>Ramil</cp:lastModifiedBy>
  <dcterms:created xsi:type="dcterms:W3CDTF">2026-03-13T07:39:31Z</dcterms:created>
  <dcterms:modified xsi:type="dcterms:W3CDTF">2026-06-17T07:45:59Z</dcterms:modified>
</cp:coreProperties>
</file>